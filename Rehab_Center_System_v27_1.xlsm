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Αυτό_το_βιβλίο_εργασίας"/>
  <mc:AlternateContent xmlns:mc="http://schemas.openxmlformats.org/markup-compatibility/2006">
    <mc:Choice Requires="x15">
      <x15ac:absPath xmlns:x15ac="http://schemas.microsoft.com/office/spreadsheetml/2010/11/ac" url="C:\Users\aimil\Desktop\"/>
    </mc:Choice>
  </mc:AlternateContent>
  <xr:revisionPtr revIDLastSave="0" documentId="13_ncr:1_{9EFC9D65-8AC4-4774-A702-2DD7BD502E4E}" xr6:coauthVersionLast="47" xr6:coauthVersionMax="47" xr10:uidLastSave="{00000000-0000-0000-0000-000000000000}"/>
  <bookViews>
    <workbookView xWindow="-108" yWindow="-108" windowWidth="23256" windowHeight="12456" firstSheet="6" activeTab="12" xr2:uid="{00000000-000D-0000-FFFF-FFFF00000000}"/>
  </bookViews>
  <sheets>
    <sheet name="PATIENT_PLANNER" sheetId="1" r:id="rId1"/>
    <sheet name="MASTER_SCHEDULE" sheetId="2" r:id="rId2"/>
    <sheet name="THERAPIST_ATTENDANCE" sheetId="10" r:id="rId3"/>
    <sheet name="REPLACEMENTS" sheetId="3" r:id="rId4"/>
    <sheet name="REPLACEMENT_LOG" sheetId="13" r:id="rId5"/>
    <sheet name="DAILY_LOG" sheetId="4" r:id="rId6"/>
    <sheet name="STATISTICS" sheetId="5" r:id="rId7"/>
    <sheet name="PATIENTS" sheetId="6" r:id="rId8"/>
    <sheet name="NEW_PATIENT" sheetId="7" r:id="rId9"/>
    <sheet name="SETTINGS" sheetId="8" r:id="rId10"/>
    <sheet name="SESSIONS" sheetId="9" state="hidden" r:id="rId11"/>
    <sheet name="CONFLICT_LOG" sheetId="11" r:id="rId12"/>
    <sheet name="THERAPIST_DAILY" sheetId="12" r:id="rId13"/>
  </sheets>
  <functionGroups builtInGroupCount="19"/>
  <definedNames>
    <definedName name="_xlnm._FilterDatabase" localSheetId="1" hidden="1">MASTER_SCHEDULE!$A$1:$K$86</definedName>
    <definedName name="_xlnm._FilterDatabase" localSheetId="0" hidden="1">PATIENT_PLANNER!$A$1:$W$86</definedName>
    <definedName name="_xlnm._FilterDatabase" localSheetId="7" hidden="1">PATIENTS!$A$1:$E$86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E2" i="2"/>
  <c r="D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2" i="2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8" i="1" s="1"/>
  <c r="A97" i="6"/>
  <c r="A97" i="1" s="1"/>
  <c r="A96" i="6"/>
  <c r="A96" i="1" s="1"/>
  <c r="A95" i="6"/>
  <c r="A94" i="6"/>
  <c r="A94" i="1" s="1"/>
  <c r="A93" i="6"/>
  <c r="A92" i="6"/>
  <c r="A92" i="1" s="1"/>
  <c r="A91" i="6"/>
  <c r="A91" i="1" s="1"/>
  <c r="A90" i="6"/>
  <c r="A89" i="6"/>
  <c r="A88" i="6"/>
  <c r="A87" i="6"/>
  <c r="A87" i="1" s="1"/>
  <c r="A86" i="6"/>
  <c r="A85" i="6"/>
  <c r="A85" i="1" s="1"/>
  <c r="A84" i="6"/>
  <c r="A84" i="1" s="1"/>
  <c r="A83" i="6"/>
  <c r="A83" i="1" s="1"/>
  <c r="A82" i="6"/>
  <c r="A82" i="1" s="1"/>
  <c r="A81" i="6"/>
  <c r="A81" i="1" s="1"/>
  <c r="A80" i="6"/>
  <c r="A80" i="1" s="1"/>
  <c r="A79" i="6"/>
  <c r="A79" i="1" s="1"/>
  <c r="A78" i="6"/>
  <c r="A78" i="1" s="1"/>
  <c r="A77" i="6"/>
  <c r="A77" i="1" s="1"/>
  <c r="A76" i="6"/>
  <c r="A76" i="1" s="1"/>
  <c r="A75" i="6"/>
  <c r="A75" i="1" s="1"/>
  <c r="A74" i="6"/>
  <c r="A74" i="1" s="1"/>
  <c r="A73" i="6"/>
  <c r="A73" i="1" s="1"/>
  <c r="A72" i="6"/>
  <c r="A72" i="1" s="1"/>
  <c r="A71" i="6"/>
  <c r="A71" i="1" s="1"/>
  <c r="A70" i="6"/>
  <c r="A70" i="1" s="1"/>
  <c r="A69" i="6"/>
  <c r="A69" i="1" s="1"/>
  <c r="A68" i="6"/>
  <c r="A68" i="1" s="1"/>
  <c r="A67" i="6"/>
  <c r="A67" i="1" s="1"/>
  <c r="A66" i="6"/>
  <c r="A66" i="1" s="1"/>
  <c r="A65" i="6"/>
  <c r="A65" i="1" s="1"/>
  <c r="A64" i="6"/>
  <c r="A64" i="1" s="1"/>
  <c r="A63" i="6"/>
  <c r="A63" i="1" s="1"/>
  <c r="A62" i="6"/>
  <c r="A62" i="1" s="1"/>
  <c r="A61" i="6"/>
  <c r="A61" i="1" s="1"/>
  <c r="A60" i="6"/>
  <c r="A60" i="1" s="1"/>
  <c r="A59" i="6"/>
  <c r="A59" i="1" s="1"/>
  <c r="A58" i="6"/>
  <c r="A58" i="1" s="1"/>
  <c r="A57" i="6"/>
  <c r="A57" i="1" s="1"/>
  <c r="A56" i="6"/>
  <c r="A56" i="1" s="1"/>
  <c r="A55" i="6"/>
  <c r="A55" i="1" s="1"/>
  <c r="A54" i="6"/>
  <c r="A54" i="1" s="1"/>
  <c r="A53" i="6"/>
  <c r="A53" i="1" s="1"/>
  <c r="A52" i="6"/>
  <c r="A52" i="1" s="1"/>
  <c r="A51" i="6"/>
  <c r="A51" i="1" s="1"/>
  <c r="A50" i="6"/>
  <c r="A50" i="1" s="1"/>
  <c r="A49" i="6"/>
  <c r="A49" i="1" s="1"/>
  <c r="A48" i="6"/>
  <c r="A48" i="1" s="1"/>
  <c r="A47" i="6"/>
  <c r="A47" i="1" s="1"/>
  <c r="A46" i="6"/>
  <c r="A46" i="1" s="1"/>
  <c r="A45" i="6"/>
  <c r="A45" i="1" s="1"/>
  <c r="A44" i="6"/>
  <c r="A44" i="1" s="1"/>
  <c r="A43" i="6"/>
  <c r="A43" i="1" s="1"/>
  <c r="A42" i="6"/>
  <c r="A42" i="1" s="1"/>
  <c r="A41" i="6"/>
  <c r="A41" i="1" s="1"/>
  <c r="A40" i="6"/>
  <c r="A40" i="1" s="1"/>
  <c r="A39" i="6"/>
  <c r="A39" i="1" s="1"/>
  <c r="A38" i="6"/>
  <c r="A38" i="1" s="1"/>
  <c r="A37" i="6"/>
  <c r="A37" i="1" s="1"/>
  <c r="A36" i="6"/>
  <c r="A36" i="1" s="1"/>
  <c r="A35" i="6"/>
  <c r="A35" i="1" s="1"/>
  <c r="A34" i="6"/>
  <c r="A34" i="1" s="1"/>
  <c r="A33" i="6"/>
  <c r="A33" i="1" s="1"/>
  <c r="A32" i="6"/>
  <c r="A32" i="1" s="1"/>
  <c r="A31" i="6"/>
  <c r="A31" i="1" s="1"/>
  <c r="A30" i="6"/>
  <c r="A30" i="1" s="1"/>
  <c r="A29" i="6"/>
  <c r="A29" i="1" s="1"/>
  <c r="A28" i="6"/>
  <c r="A28" i="1" s="1"/>
  <c r="A27" i="6"/>
  <c r="A27" i="1" s="1"/>
  <c r="A26" i="6"/>
  <c r="A26" i="1" s="1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19" i="5"/>
  <c r="B18" i="5"/>
  <c r="E17" i="5"/>
  <c r="B17" i="5"/>
  <c r="E16" i="5"/>
  <c r="B16" i="5"/>
  <c r="E15" i="5"/>
  <c r="B15" i="5"/>
  <c r="E14" i="5"/>
  <c r="B14" i="5"/>
  <c r="E13" i="5"/>
  <c r="B13" i="5"/>
  <c r="E11" i="5"/>
  <c r="E10" i="5"/>
  <c r="E9" i="5"/>
  <c r="E8" i="5"/>
  <c r="B8" i="5"/>
  <c r="E7" i="5"/>
  <c r="B7" i="5"/>
  <c r="E6" i="5"/>
  <c r="B6" i="5"/>
  <c r="E5" i="5"/>
  <c r="B5" i="5"/>
  <c r="E4" i="5"/>
  <c r="B4" i="5"/>
  <c r="B3" i="5"/>
  <c r="E550" i="1"/>
  <c r="D550" i="1"/>
  <c r="C550" i="1"/>
  <c r="B550" i="1"/>
  <c r="A550" i="1"/>
  <c r="E549" i="1"/>
  <c r="D549" i="1"/>
  <c r="C549" i="1"/>
  <c r="B549" i="1"/>
  <c r="A549" i="1"/>
  <c r="E548" i="1"/>
  <c r="D548" i="1"/>
  <c r="C548" i="1"/>
  <c r="B548" i="1"/>
  <c r="A548" i="1"/>
  <c r="E547" i="1"/>
  <c r="D547" i="1"/>
  <c r="C547" i="1"/>
  <c r="B547" i="1"/>
  <c r="A547" i="1"/>
  <c r="E546" i="1"/>
  <c r="D546" i="1"/>
  <c r="C546" i="1"/>
  <c r="B546" i="1"/>
  <c r="A546" i="1"/>
  <c r="E545" i="1"/>
  <c r="D545" i="1"/>
  <c r="C545" i="1"/>
  <c r="B545" i="1"/>
  <c r="A545" i="1"/>
  <c r="E544" i="1"/>
  <c r="D544" i="1"/>
  <c r="C544" i="1"/>
  <c r="B544" i="1"/>
  <c r="A544" i="1"/>
  <c r="E543" i="1"/>
  <c r="D543" i="1"/>
  <c r="C543" i="1"/>
  <c r="B543" i="1"/>
  <c r="A543" i="1"/>
  <c r="E542" i="1"/>
  <c r="D542" i="1"/>
  <c r="C542" i="1"/>
  <c r="B542" i="1"/>
  <c r="A542" i="1"/>
  <c r="E541" i="1"/>
  <c r="D541" i="1"/>
  <c r="C541" i="1"/>
  <c r="B541" i="1"/>
  <c r="A541" i="1"/>
  <c r="E540" i="1"/>
  <c r="D540" i="1"/>
  <c r="C540" i="1"/>
  <c r="B540" i="1"/>
  <c r="A540" i="1"/>
  <c r="E539" i="1"/>
  <c r="D539" i="1"/>
  <c r="C539" i="1"/>
  <c r="B539" i="1"/>
  <c r="A539" i="1"/>
  <c r="E538" i="1"/>
  <c r="D538" i="1"/>
  <c r="C538" i="1"/>
  <c r="B538" i="1"/>
  <c r="A538" i="1"/>
  <c r="E537" i="1"/>
  <c r="D537" i="1"/>
  <c r="C537" i="1"/>
  <c r="B537" i="1"/>
  <c r="A537" i="1"/>
  <c r="E536" i="1"/>
  <c r="D536" i="1"/>
  <c r="C536" i="1"/>
  <c r="B536" i="1"/>
  <c r="A536" i="1"/>
  <c r="E535" i="1"/>
  <c r="D535" i="1"/>
  <c r="C535" i="1"/>
  <c r="B535" i="1"/>
  <c r="A535" i="1"/>
  <c r="E534" i="1"/>
  <c r="D534" i="1"/>
  <c r="C534" i="1"/>
  <c r="B534" i="1"/>
  <c r="A534" i="1"/>
  <c r="E533" i="1"/>
  <c r="D533" i="1"/>
  <c r="C533" i="1"/>
  <c r="B533" i="1"/>
  <c r="A533" i="1"/>
  <c r="E532" i="1"/>
  <c r="D532" i="1"/>
  <c r="C532" i="1"/>
  <c r="B532" i="1"/>
  <c r="A532" i="1"/>
  <c r="E531" i="1"/>
  <c r="D531" i="1"/>
  <c r="C531" i="1"/>
  <c r="B531" i="1"/>
  <c r="A531" i="1"/>
  <c r="E530" i="1"/>
  <c r="D530" i="1"/>
  <c r="C530" i="1"/>
  <c r="B530" i="1"/>
  <c r="A530" i="1"/>
  <c r="E529" i="1"/>
  <c r="D529" i="1"/>
  <c r="C529" i="1"/>
  <c r="B529" i="1"/>
  <c r="A529" i="1"/>
  <c r="E528" i="1"/>
  <c r="D528" i="1"/>
  <c r="C528" i="1"/>
  <c r="B528" i="1"/>
  <c r="A528" i="1"/>
  <c r="E527" i="1"/>
  <c r="D527" i="1"/>
  <c r="C527" i="1"/>
  <c r="B527" i="1"/>
  <c r="A527" i="1"/>
  <c r="E526" i="1"/>
  <c r="D526" i="1"/>
  <c r="C526" i="1"/>
  <c r="B526" i="1"/>
  <c r="A526" i="1"/>
  <c r="E525" i="1"/>
  <c r="D525" i="1"/>
  <c r="C525" i="1"/>
  <c r="B525" i="1"/>
  <c r="A525" i="1"/>
  <c r="E524" i="1"/>
  <c r="D524" i="1"/>
  <c r="C524" i="1"/>
  <c r="B524" i="1"/>
  <c r="A524" i="1"/>
  <c r="E523" i="1"/>
  <c r="D523" i="1"/>
  <c r="C523" i="1"/>
  <c r="B523" i="1"/>
  <c r="A523" i="1"/>
  <c r="E522" i="1"/>
  <c r="D522" i="1"/>
  <c r="C522" i="1"/>
  <c r="B522" i="1"/>
  <c r="A522" i="1"/>
  <c r="E521" i="1"/>
  <c r="D521" i="1"/>
  <c r="C521" i="1"/>
  <c r="B521" i="1"/>
  <c r="A521" i="1"/>
  <c r="E520" i="1"/>
  <c r="D520" i="1"/>
  <c r="C520" i="1"/>
  <c r="B520" i="1"/>
  <c r="A520" i="1"/>
  <c r="E519" i="1"/>
  <c r="D519" i="1"/>
  <c r="C519" i="1"/>
  <c r="B519" i="1"/>
  <c r="A519" i="1"/>
  <c r="E518" i="1"/>
  <c r="D518" i="1"/>
  <c r="C518" i="1"/>
  <c r="B518" i="1"/>
  <c r="A518" i="1"/>
  <c r="E517" i="1"/>
  <c r="D517" i="1"/>
  <c r="C517" i="1"/>
  <c r="B517" i="1"/>
  <c r="A517" i="1"/>
  <c r="E516" i="1"/>
  <c r="D516" i="1"/>
  <c r="C516" i="1"/>
  <c r="B516" i="1"/>
  <c r="A516" i="1"/>
  <c r="E515" i="1"/>
  <c r="D515" i="1"/>
  <c r="C515" i="1"/>
  <c r="B515" i="1"/>
  <c r="A515" i="1"/>
  <c r="E514" i="1"/>
  <c r="D514" i="1"/>
  <c r="C514" i="1"/>
  <c r="B514" i="1"/>
  <c r="A514" i="1"/>
  <c r="E513" i="1"/>
  <c r="D513" i="1"/>
  <c r="C513" i="1"/>
  <c r="B513" i="1"/>
  <c r="A513" i="1"/>
  <c r="E512" i="1"/>
  <c r="D512" i="1"/>
  <c r="C512" i="1"/>
  <c r="B512" i="1"/>
  <c r="A512" i="1"/>
  <c r="E511" i="1"/>
  <c r="D511" i="1"/>
  <c r="C511" i="1"/>
  <c r="B511" i="1"/>
  <c r="A511" i="1"/>
  <c r="E510" i="1"/>
  <c r="D510" i="1"/>
  <c r="C510" i="1"/>
  <c r="B510" i="1"/>
  <c r="A510" i="1"/>
  <c r="E509" i="1"/>
  <c r="D509" i="1"/>
  <c r="C509" i="1"/>
  <c r="B509" i="1"/>
  <c r="A509" i="1"/>
  <c r="E508" i="1"/>
  <c r="D508" i="1"/>
  <c r="C508" i="1"/>
  <c r="B508" i="1"/>
  <c r="A508" i="1"/>
  <c r="E507" i="1"/>
  <c r="D507" i="1"/>
  <c r="C507" i="1"/>
  <c r="B507" i="1"/>
  <c r="A507" i="1"/>
  <c r="E506" i="1"/>
  <c r="D506" i="1"/>
  <c r="C506" i="1"/>
  <c r="B506" i="1"/>
  <c r="A506" i="1"/>
  <c r="E505" i="1"/>
  <c r="D505" i="1"/>
  <c r="C505" i="1"/>
  <c r="B505" i="1"/>
  <c r="A505" i="1"/>
  <c r="E504" i="1"/>
  <c r="D504" i="1"/>
  <c r="C504" i="1"/>
  <c r="B504" i="1"/>
  <c r="A504" i="1"/>
  <c r="E503" i="1"/>
  <c r="D503" i="1"/>
  <c r="C503" i="1"/>
  <c r="B503" i="1"/>
  <c r="A503" i="1"/>
  <c r="E502" i="1"/>
  <c r="D502" i="1"/>
  <c r="C502" i="1"/>
  <c r="B502" i="1"/>
  <c r="A502" i="1"/>
  <c r="E501" i="1"/>
  <c r="D501" i="1"/>
  <c r="C501" i="1"/>
  <c r="B501" i="1"/>
  <c r="A501" i="1"/>
  <c r="E500" i="1"/>
  <c r="D500" i="1"/>
  <c r="C500" i="1"/>
  <c r="B500" i="1"/>
  <c r="A500" i="1"/>
  <c r="E499" i="1"/>
  <c r="D499" i="1"/>
  <c r="C499" i="1"/>
  <c r="B499" i="1"/>
  <c r="A499" i="1"/>
  <c r="E498" i="1"/>
  <c r="D498" i="1"/>
  <c r="C498" i="1"/>
  <c r="B498" i="1"/>
  <c r="A498" i="1"/>
  <c r="E497" i="1"/>
  <c r="D497" i="1"/>
  <c r="C497" i="1"/>
  <c r="B497" i="1"/>
  <c r="A497" i="1"/>
  <c r="E496" i="1"/>
  <c r="D496" i="1"/>
  <c r="C496" i="1"/>
  <c r="B496" i="1"/>
  <c r="A496" i="1"/>
  <c r="E495" i="1"/>
  <c r="D495" i="1"/>
  <c r="C495" i="1"/>
  <c r="B495" i="1"/>
  <c r="A495" i="1"/>
  <c r="E494" i="1"/>
  <c r="D494" i="1"/>
  <c r="C494" i="1"/>
  <c r="B494" i="1"/>
  <c r="A494" i="1"/>
  <c r="E493" i="1"/>
  <c r="D493" i="1"/>
  <c r="C493" i="1"/>
  <c r="B493" i="1"/>
  <c r="A493" i="1"/>
  <c r="E492" i="1"/>
  <c r="D492" i="1"/>
  <c r="C492" i="1"/>
  <c r="B492" i="1"/>
  <c r="A492" i="1"/>
  <c r="E491" i="1"/>
  <c r="D491" i="1"/>
  <c r="C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D488" i="1"/>
  <c r="C488" i="1"/>
  <c r="B488" i="1"/>
  <c r="A488" i="1"/>
  <c r="E487" i="1"/>
  <c r="D487" i="1"/>
  <c r="C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D484" i="1"/>
  <c r="C484" i="1"/>
  <c r="B484" i="1"/>
  <c r="A484" i="1"/>
  <c r="E483" i="1"/>
  <c r="D483" i="1"/>
  <c r="C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D480" i="1"/>
  <c r="C480" i="1"/>
  <c r="B480" i="1"/>
  <c r="A480" i="1"/>
  <c r="E479" i="1"/>
  <c r="D479" i="1"/>
  <c r="C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C476" i="1"/>
  <c r="B476" i="1"/>
  <c r="A476" i="1"/>
  <c r="E475" i="1"/>
  <c r="D475" i="1"/>
  <c r="C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C472" i="1"/>
  <c r="B472" i="1"/>
  <c r="A472" i="1"/>
  <c r="E471" i="1"/>
  <c r="D471" i="1"/>
  <c r="C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D468" i="1"/>
  <c r="C468" i="1"/>
  <c r="B468" i="1"/>
  <c r="A468" i="1"/>
  <c r="E467" i="1"/>
  <c r="D467" i="1"/>
  <c r="C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D464" i="1"/>
  <c r="C464" i="1"/>
  <c r="B464" i="1"/>
  <c r="A464" i="1"/>
  <c r="E463" i="1"/>
  <c r="D463" i="1"/>
  <c r="C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C460" i="1"/>
  <c r="B460" i="1"/>
  <c r="A460" i="1"/>
  <c r="E459" i="1"/>
  <c r="D459" i="1"/>
  <c r="C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C456" i="1"/>
  <c r="B456" i="1"/>
  <c r="A456" i="1"/>
  <c r="E455" i="1"/>
  <c r="D455" i="1"/>
  <c r="C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D452" i="1"/>
  <c r="C452" i="1"/>
  <c r="B452" i="1"/>
  <c r="A452" i="1"/>
  <c r="E451" i="1"/>
  <c r="D451" i="1"/>
  <c r="C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D448" i="1"/>
  <c r="C448" i="1"/>
  <c r="B448" i="1"/>
  <c r="A448" i="1"/>
  <c r="E447" i="1"/>
  <c r="D447" i="1"/>
  <c r="C447" i="1"/>
  <c r="B447" i="1"/>
  <c r="A447" i="1"/>
  <c r="E446" i="1"/>
  <c r="D446" i="1"/>
  <c r="C446" i="1"/>
  <c r="B446" i="1"/>
  <c r="A446" i="1"/>
  <c r="E445" i="1"/>
  <c r="D445" i="1"/>
  <c r="C445" i="1"/>
  <c r="B445" i="1"/>
  <c r="A445" i="1"/>
  <c r="E444" i="1"/>
  <c r="D444" i="1"/>
  <c r="C444" i="1"/>
  <c r="B444" i="1"/>
  <c r="A444" i="1"/>
  <c r="E443" i="1"/>
  <c r="D443" i="1"/>
  <c r="C443" i="1"/>
  <c r="B443" i="1"/>
  <c r="A443" i="1"/>
  <c r="E442" i="1"/>
  <c r="D442" i="1"/>
  <c r="C442" i="1"/>
  <c r="B442" i="1"/>
  <c r="A442" i="1"/>
  <c r="E441" i="1"/>
  <c r="D441" i="1"/>
  <c r="C441" i="1"/>
  <c r="B441" i="1"/>
  <c r="A441" i="1"/>
  <c r="E440" i="1"/>
  <c r="D440" i="1"/>
  <c r="C440" i="1"/>
  <c r="B440" i="1"/>
  <c r="A440" i="1"/>
  <c r="E439" i="1"/>
  <c r="D439" i="1"/>
  <c r="C439" i="1"/>
  <c r="B439" i="1"/>
  <c r="A439" i="1"/>
  <c r="E438" i="1"/>
  <c r="D438" i="1"/>
  <c r="C438" i="1"/>
  <c r="B438" i="1"/>
  <c r="A438" i="1"/>
  <c r="E437" i="1"/>
  <c r="D437" i="1"/>
  <c r="C437" i="1"/>
  <c r="B437" i="1"/>
  <c r="A437" i="1"/>
  <c r="E436" i="1"/>
  <c r="D436" i="1"/>
  <c r="C436" i="1"/>
  <c r="B436" i="1"/>
  <c r="A436" i="1"/>
  <c r="E435" i="1"/>
  <c r="D435" i="1"/>
  <c r="C435" i="1"/>
  <c r="B435" i="1"/>
  <c r="A435" i="1"/>
  <c r="E434" i="1"/>
  <c r="D434" i="1"/>
  <c r="C434" i="1"/>
  <c r="B434" i="1"/>
  <c r="A434" i="1"/>
  <c r="E433" i="1"/>
  <c r="D433" i="1"/>
  <c r="C433" i="1"/>
  <c r="B433" i="1"/>
  <c r="A433" i="1"/>
  <c r="E432" i="1"/>
  <c r="D432" i="1"/>
  <c r="C432" i="1"/>
  <c r="B432" i="1"/>
  <c r="A432" i="1"/>
  <c r="E431" i="1"/>
  <c r="D431" i="1"/>
  <c r="C431" i="1"/>
  <c r="B431" i="1"/>
  <c r="A431" i="1"/>
  <c r="E430" i="1"/>
  <c r="D430" i="1"/>
  <c r="C430" i="1"/>
  <c r="B430" i="1"/>
  <c r="A430" i="1"/>
  <c r="E429" i="1"/>
  <c r="D429" i="1"/>
  <c r="C429" i="1"/>
  <c r="B429" i="1"/>
  <c r="A429" i="1"/>
  <c r="E428" i="1"/>
  <c r="D428" i="1"/>
  <c r="C428" i="1"/>
  <c r="B428" i="1"/>
  <c r="A428" i="1"/>
  <c r="E427" i="1"/>
  <c r="D427" i="1"/>
  <c r="C427" i="1"/>
  <c r="B427" i="1"/>
  <c r="A427" i="1"/>
  <c r="E426" i="1"/>
  <c r="D426" i="1"/>
  <c r="C426" i="1"/>
  <c r="B426" i="1"/>
  <c r="A426" i="1"/>
  <c r="E425" i="1"/>
  <c r="D425" i="1"/>
  <c r="C425" i="1"/>
  <c r="B425" i="1"/>
  <c r="A425" i="1"/>
  <c r="E424" i="1"/>
  <c r="D424" i="1"/>
  <c r="C424" i="1"/>
  <c r="B424" i="1"/>
  <c r="A424" i="1"/>
  <c r="E423" i="1"/>
  <c r="D423" i="1"/>
  <c r="C423" i="1"/>
  <c r="B423" i="1"/>
  <c r="A423" i="1"/>
  <c r="E422" i="1"/>
  <c r="D422" i="1"/>
  <c r="C422" i="1"/>
  <c r="B422" i="1"/>
  <c r="A422" i="1"/>
  <c r="E421" i="1"/>
  <c r="D421" i="1"/>
  <c r="C421" i="1"/>
  <c r="B421" i="1"/>
  <c r="A421" i="1"/>
  <c r="E420" i="1"/>
  <c r="D420" i="1"/>
  <c r="C420" i="1"/>
  <c r="B420" i="1"/>
  <c r="A420" i="1"/>
  <c r="E419" i="1"/>
  <c r="D419" i="1"/>
  <c r="C419" i="1"/>
  <c r="B419" i="1"/>
  <c r="A419" i="1"/>
  <c r="E418" i="1"/>
  <c r="D418" i="1"/>
  <c r="C418" i="1"/>
  <c r="B418" i="1"/>
  <c r="A418" i="1"/>
  <c r="E417" i="1"/>
  <c r="D417" i="1"/>
  <c r="C417" i="1"/>
  <c r="B417" i="1"/>
  <c r="A417" i="1"/>
  <c r="E416" i="1"/>
  <c r="D416" i="1"/>
  <c r="C416" i="1"/>
  <c r="B416" i="1"/>
  <c r="A416" i="1"/>
  <c r="E415" i="1"/>
  <c r="D415" i="1"/>
  <c r="C415" i="1"/>
  <c r="B415" i="1"/>
  <c r="A415" i="1"/>
  <c r="E414" i="1"/>
  <c r="D414" i="1"/>
  <c r="C414" i="1"/>
  <c r="B414" i="1"/>
  <c r="A414" i="1"/>
  <c r="E413" i="1"/>
  <c r="D413" i="1"/>
  <c r="C413" i="1"/>
  <c r="B413" i="1"/>
  <c r="A413" i="1"/>
  <c r="E412" i="1"/>
  <c r="D412" i="1"/>
  <c r="C412" i="1"/>
  <c r="B412" i="1"/>
  <c r="A412" i="1"/>
  <c r="E411" i="1"/>
  <c r="D411" i="1"/>
  <c r="C411" i="1"/>
  <c r="B411" i="1"/>
  <c r="A411" i="1"/>
  <c r="E410" i="1"/>
  <c r="D410" i="1"/>
  <c r="C410" i="1"/>
  <c r="B410" i="1"/>
  <c r="A410" i="1"/>
  <c r="E409" i="1"/>
  <c r="D409" i="1"/>
  <c r="C409" i="1"/>
  <c r="B409" i="1"/>
  <c r="A409" i="1"/>
  <c r="E408" i="1"/>
  <c r="D408" i="1"/>
  <c r="C408" i="1"/>
  <c r="B408" i="1"/>
  <c r="A408" i="1"/>
  <c r="E407" i="1"/>
  <c r="D407" i="1"/>
  <c r="C407" i="1"/>
  <c r="B407" i="1"/>
  <c r="A407" i="1"/>
  <c r="E406" i="1"/>
  <c r="D406" i="1"/>
  <c r="C406" i="1"/>
  <c r="B406" i="1"/>
  <c r="A406" i="1"/>
  <c r="E405" i="1"/>
  <c r="D405" i="1"/>
  <c r="C405" i="1"/>
  <c r="B405" i="1"/>
  <c r="A405" i="1"/>
  <c r="E404" i="1"/>
  <c r="D404" i="1"/>
  <c r="C404" i="1"/>
  <c r="B404" i="1"/>
  <c r="A404" i="1"/>
  <c r="E403" i="1"/>
  <c r="D403" i="1"/>
  <c r="C403" i="1"/>
  <c r="B403" i="1"/>
  <c r="A403" i="1"/>
  <c r="E402" i="1"/>
  <c r="D402" i="1"/>
  <c r="C402" i="1"/>
  <c r="B402" i="1"/>
  <c r="A402" i="1"/>
  <c r="E401" i="1"/>
  <c r="D401" i="1"/>
  <c r="C401" i="1"/>
  <c r="B401" i="1"/>
  <c r="A401" i="1"/>
  <c r="E400" i="1"/>
  <c r="D400" i="1"/>
  <c r="C400" i="1"/>
  <c r="B400" i="1"/>
  <c r="A400" i="1"/>
  <c r="E399" i="1"/>
  <c r="D399" i="1"/>
  <c r="C399" i="1"/>
  <c r="B399" i="1"/>
  <c r="A399" i="1"/>
  <c r="E398" i="1"/>
  <c r="D398" i="1"/>
  <c r="C398" i="1"/>
  <c r="B398" i="1"/>
  <c r="A398" i="1"/>
  <c r="E397" i="1"/>
  <c r="D397" i="1"/>
  <c r="C397" i="1"/>
  <c r="B397" i="1"/>
  <c r="A397" i="1"/>
  <c r="E396" i="1"/>
  <c r="D396" i="1"/>
  <c r="C396" i="1"/>
  <c r="B396" i="1"/>
  <c r="A396" i="1"/>
  <c r="E395" i="1"/>
  <c r="D395" i="1"/>
  <c r="C395" i="1"/>
  <c r="B395" i="1"/>
  <c r="A395" i="1"/>
  <c r="E394" i="1"/>
  <c r="D394" i="1"/>
  <c r="C394" i="1"/>
  <c r="B394" i="1"/>
  <c r="A394" i="1"/>
  <c r="E393" i="1"/>
  <c r="D393" i="1"/>
  <c r="C393" i="1"/>
  <c r="B393" i="1"/>
  <c r="A393" i="1"/>
  <c r="E392" i="1"/>
  <c r="D392" i="1"/>
  <c r="C392" i="1"/>
  <c r="B392" i="1"/>
  <c r="A392" i="1"/>
  <c r="E391" i="1"/>
  <c r="D391" i="1"/>
  <c r="C391" i="1"/>
  <c r="B391" i="1"/>
  <c r="A391" i="1"/>
  <c r="E390" i="1"/>
  <c r="D390" i="1"/>
  <c r="C390" i="1"/>
  <c r="B390" i="1"/>
  <c r="A390" i="1"/>
  <c r="E389" i="1"/>
  <c r="D389" i="1"/>
  <c r="C389" i="1"/>
  <c r="B389" i="1"/>
  <c r="A389" i="1"/>
  <c r="E388" i="1"/>
  <c r="D388" i="1"/>
  <c r="C388" i="1"/>
  <c r="B388" i="1"/>
  <c r="A388" i="1"/>
  <c r="E387" i="1"/>
  <c r="D387" i="1"/>
  <c r="C387" i="1"/>
  <c r="B387" i="1"/>
  <c r="A387" i="1"/>
  <c r="E386" i="1"/>
  <c r="D386" i="1"/>
  <c r="C386" i="1"/>
  <c r="B386" i="1"/>
  <c r="A386" i="1"/>
  <c r="E385" i="1"/>
  <c r="D385" i="1"/>
  <c r="C385" i="1"/>
  <c r="B385" i="1"/>
  <c r="A385" i="1"/>
  <c r="E384" i="1"/>
  <c r="D384" i="1"/>
  <c r="C384" i="1"/>
  <c r="B384" i="1"/>
  <c r="A384" i="1"/>
  <c r="E383" i="1"/>
  <c r="D383" i="1"/>
  <c r="C383" i="1"/>
  <c r="B383" i="1"/>
  <c r="A383" i="1"/>
  <c r="E382" i="1"/>
  <c r="D382" i="1"/>
  <c r="C382" i="1"/>
  <c r="B382" i="1"/>
  <c r="A382" i="1"/>
  <c r="E381" i="1"/>
  <c r="D381" i="1"/>
  <c r="C381" i="1"/>
  <c r="B381" i="1"/>
  <c r="A381" i="1"/>
  <c r="E380" i="1"/>
  <c r="D380" i="1"/>
  <c r="C380" i="1"/>
  <c r="B380" i="1"/>
  <c r="A380" i="1"/>
  <c r="E379" i="1"/>
  <c r="D379" i="1"/>
  <c r="C379" i="1"/>
  <c r="B379" i="1"/>
  <c r="A379" i="1"/>
  <c r="E378" i="1"/>
  <c r="D378" i="1"/>
  <c r="C378" i="1"/>
  <c r="B378" i="1"/>
  <c r="A378" i="1"/>
  <c r="E377" i="1"/>
  <c r="D377" i="1"/>
  <c r="C377" i="1"/>
  <c r="B377" i="1"/>
  <c r="A377" i="1"/>
  <c r="E376" i="1"/>
  <c r="D376" i="1"/>
  <c r="C376" i="1"/>
  <c r="B376" i="1"/>
  <c r="A376" i="1"/>
  <c r="E375" i="1"/>
  <c r="D375" i="1"/>
  <c r="C375" i="1"/>
  <c r="B375" i="1"/>
  <c r="A375" i="1"/>
  <c r="E374" i="1"/>
  <c r="D374" i="1"/>
  <c r="C374" i="1"/>
  <c r="B374" i="1"/>
  <c r="A374" i="1"/>
  <c r="E373" i="1"/>
  <c r="D373" i="1"/>
  <c r="C373" i="1"/>
  <c r="B373" i="1"/>
  <c r="A373" i="1"/>
  <c r="E372" i="1"/>
  <c r="D372" i="1"/>
  <c r="C372" i="1"/>
  <c r="B372" i="1"/>
  <c r="A372" i="1"/>
  <c r="E371" i="1"/>
  <c r="D371" i="1"/>
  <c r="C371" i="1"/>
  <c r="B371" i="1"/>
  <c r="A371" i="1"/>
  <c r="E370" i="1"/>
  <c r="D370" i="1"/>
  <c r="C370" i="1"/>
  <c r="B370" i="1"/>
  <c r="A370" i="1"/>
  <c r="E369" i="1"/>
  <c r="D369" i="1"/>
  <c r="C369" i="1"/>
  <c r="B369" i="1"/>
  <c r="A369" i="1"/>
  <c r="E368" i="1"/>
  <c r="D368" i="1"/>
  <c r="C368" i="1"/>
  <c r="B368" i="1"/>
  <c r="A368" i="1"/>
  <c r="E367" i="1"/>
  <c r="D367" i="1"/>
  <c r="C367" i="1"/>
  <c r="B367" i="1"/>
  <c r="A367" i="1"/>
  <c r="E366" i="1"/>
  <c r="D366" i="1"/>
  <c r="C366" i="1"/>
  <c r="B366" i="1"/>
  <c r="A366" i="1"/>
  <c r="E365" i="1"/>
  <c r="D365" i="1"/>
  <c r="C365" i="1"/>
  <c r="B365" i="1"/>
  <c r="A365" i="1"/>
  <c r="E364" i="1"/>
  <c r="D364" i="1"/>
  <c r="C364" i="1"/>
  <c r="B364" i="1"/>
  <c r="A364" i="1"/>
  <c r="E363" i="1"/>
  <c r="D363" i="1"/>
  <c r="C363" i="1"/>
  <c r="B363" i="1"/>
  <c r="A363" i="1"/>
  <c r="E362" i="1"/>
  <c r="D362" i="1"/>
  <c r="C362" i="1"/>
  <c r="B362" i="1"/>
  <c r="A362" i="1"/>
  <c r="E361" i="1"/>
  <c r="D361" i="1"/>
  <c r="C361" i="1"/>
  <c r="B361" i="1"/>
  <c r="A361" i="1"/>
  <c r="E360" i="1"/>
  <c r="D360" i="1"/>
  <c r="C360" i="1"/>
  <c r="B360" i="1"/>
  <c r="A360" i="1"/>
  <c r="E359" i="1"/>
  <c r="D359" i="1"/>
  <c r="C359" i="1"/>
  <c r="B359" i="1"/>
  <c r="A359" i="1"/>
  <c r="E358" i="1"/>
  <c r="D358" i="1"/>
  <c r="C358" i="1"/>
  <c r="B358" i="1"/>
  <c r="A358" i="1"/>
  <c r="E357" i="1"/>
  <c r="D357" i="1"/>
  <c r="C357" i="1"/>
  <c r="B357" i="1"/>
  <c r="A357" i="1"/>
  <c r="E356" i="1"/>
  <c r="D356" i="1"/>
  <c r="C356" i="1"/>
  <c r="B356" i="1"/>
  <c r="A356" i="1"/>
  <c r="E355" i="1"/>
  <c r="D355" i="1"/>
  <c r="C355" i="1"/>
  <c r="B355" i="1"/>
  <c r="A355" i="1"/>
  <c r="E354" i="1"/>
  <c r="D354" i="1"/>
  <c r="C354" i="1"/>
  <c r="B354" i="1"/>
  <c r="A354" i="1"/>
  <c r="E353" i="1"/>
  <c r="D353" i="1"/>
  <c r="C353" i="1"/>
  <c r="B353" i="1"/>
  <c r="A353" i="1"/>
  <c r="E352" i="1"/>
  <c r="D352" i="1"/>
  <c r="C352" i="1"/>
  <c r="B352" i="1"/>
  <c r="A352" i="1"/>
  <c r="E351" i="1"/>
  <c r="D351" i="1"/>
  <c r="C351" i="1"/>
  <c r="B351" i="1"/>
  <c r="A351" i="1"/>
  <c r="E350" i="1"/>
  <c r="D350" i="1"/>
  <c r="C350" i="1"/>
  <c r="B350" i="1"/>
  <c r="A350" i="1"/>
  <c r="E349" i="1"/>
  <c r="D349" i="1"/>
  <c r="C349" i="1"/>
  <c r="B349" i="1"/>
  <c r="A349" i="1"/>
  <c r="E348" i="1"/>
  <c r="D348" i="1"/>
  <c r="C348" i="1"/>
  <c r="B348" i="1"/>
  <c r="A348" i="1"/>
  <c r="E347" i="1"/>
  <c r="D347" i="1"/>
  <c r="C347" i="1"/>
  <c r="B347" i="1"/>
  <c r="A347" i="1"/>
  <c r="E346" i="1"/>
  <c r="D346" i="1"/>
  <c r="C346" i="1"/>
  <c r="B346" i="1"/>
  <c r="A346" i="1"/>
  <c r="E345" i="1"/>
  <c r="D345" i="1"/>
  <c r="C345" i="1"/>
  <c r="B345" i="1"/>
  <c r="A345" i="1"/>
  <c r="E344" i="1"/>
  <c r="D344" i="1"/>
  <c r="C344" i="1"/>
  <c r="B344" i="1"/>
  <c r="A344" i="1"/>
  <c r="E343" i="1"/>
  <c r="D343" i="1"/>
  <c r="C343" i="1"/>
  <c r="B343" i="1"/>
  <c r="A343" i="1"/>
  <c r="E342" i="1"/>
  <c r="D342" i="1"/>
  <c r="C342" i="1"/>
  <c r="B342" i="1"/>
  <c r="A342" i="1"/>
  <c r="E341" i="1"/>
  <c r="D341" i="1"/>
  <c r="C341" i="1"/>
  <c r="B341" i="1"/>
  <c r="A341" i="1"/>
  <c r="E340" i="1"/>
  <c r="D340" i="1"/>
  <c r="C340" i="1"/>
  <c r="B340" i="1"/>
  <c r="A340" i="1"/>
  <c r="E339" i="1"/>
  <c r="D339" i="1"/>
  <c r="C339" i="1"/>
  <c r="B339" i="1"/>
  <c r="A339" i="1"/>
  <c r="E338" i="1"/>
  <c r="D338" i="1"/>
  <c r="C338" i="1"/>
  <c r="B338" i="1"/>
  <c r="A338" i="1"/>
  <c r="E337" i="1"/>
  <c r="D337" i="1"/>
  <c r="C337" i="1"/>
  <c r="B337" i="1"/>
  <c r="A337" i="1"/>
  <c r="E336" i="1"/>
  <c r="D336" i="1"/>
  <c r="C336" i="1"/>
  <c r="B336" i="1"/>
  <c r="A336" i="1"/>
  <c r="E335" i="1"/>
  <c r="D335" i="1"/>
  <c r="C335" i="1"/>
  <c r="B335" i="1"/>
  <c r="A335" i="1"/>
  <c r="E334" i="1"/>
  <c r="D334" i="1"/>
  <c r="C334" i="1"/>
  <c r="B334" i="1"/>
  <c r="A334" i="1"/>
  <c r="E333" i="1"/>
  <c r="D333" i="1"/>
  <c r="C333" i="1"/>
  <c r="B333" i="1"/>
  <c r="A333" i="1"/>
  <c r="E332" i="1"/>
  <c r="D332" i="1"/>
  <c r="C332" i="1"/>
  <c r="B332" i="1"/>
  <c r="A332" i="1"/>
  <c r="E331" i="1"/>
  <c r="D331" i="1"/>
  <c r="C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D328" i="1"/>
  <c r="C328" i="1"/>
  <c r="B328" i="1"/>
  <c r="A328" i="1"/>
  <c r="E327" i="1"/>
  <c r="D327" i="1"/>
  <c r="C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D324" i="1"/>
  <c r="C324" i="1"/>
  <c r="B324" i="1"/>
  <c r="A324" i="1"/>
  <c r="E323" i="1"/>
  <c r="D323" i="1"/>
  <c r="C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C320" i="1"/>
  <c r="B320" i="1"/>
  <c r="A320" i="1"/>
  <c r="E319" i="1"/>
  <c r="D319" i="1"/>
  <c r="C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D316" i="1"/>
  <c r="C316" i="1"/>
  <c r="B316" i="1"/>
  <c r="A316" i="1"/>
  <c r="E315" i="1"/>
  <c r="D315" i="1"/>
  <c r="C315" i="1"/>
  <c r="B315" i="1"/>
  <c r="A315" i="1"/>
  <c r="E314" i="1"/>
  <c r="D314" i="1"/>
  <c r="C314" i="1"/>
  <c r="B314" i="1"/>
  <c r="A314" i="1"/>
  <c r="E313" i="1"/>
  <c r="D313" i="1"/>
  <c r="C313" i="1"/>
  <c r="B313" i="1"/>
  <c r="A313" i="1"/>
  <c r="E312" i="1"/>
  <c r="D312" i="1"/>
  <c r="C312" i="1"/>
  <c r="B312" i="1"/>
  <c r="A312" i="1"/>
  <c r="E311" i="1"/>
  <c r="D311" i="1"/>
  <c r="C311" i="1"/>
  <c r="B311" i="1"/>
  <c r="A311" i="1"/>
  <c r="E310" i="1"/>
  <c r="D310" i="1"/>
  <c r="C310" i="1"/>
  <c r="B310" i="1"/>
  <c r="A310" i="1"/>
  <c r="E309" i="1"/>
  <c r="D309" i="1"/>
  <c r="C309" i="1"/>
  <c r="B309" i="1"/>
  <c r="A309" i="1"/>
  <c r="E308" i="1"/>
  <c r="D308" i="1"/>
  <c r="C308" i="1"/>
  <c r="B308" i="1"/>
  <c r="A308" i="1"/>
  <c r="E307" i="1"/>
  <c r="D307" i="1"/>
  <c r="C307" i="1"/>
  <c r="B307" i="1"/>
  <c r="A307" i="1"/>
  <c r="E306" i="1"/>
  <c r="D306" i="1"/>
  <c r="C306" i="1"/>
  <c r="B306" i="1"/>
  <c r="A306" i="1"/>
  <c r="E305" i="1"/>
  <c r="D305" i="1"/>
  <c r="C305" i="1"/>
  <c r="B305" i="1"/>
  <c r="A305" i="1"/>
  <c r="E304" i="1"/>
  <c r="D304" i="1"/>
  <c r="C304" i="1"/>
  <c r="B304" i="1"/>
  <c r="A304" i="1"/>
  <c r="E303" i="1"/>
  <c r="D303" i="1"/>
  <c r="C303" i="1"/>
  <c r="B303" i="1"/>
  <c r="A303" i="1"/>
  <c r="E302" i="1"/>
  <c r="D302" i="1"/>
  <c r="C302" i="1"/>
  <c r="B302" i="1"/>
  <c r="A302" i="1"/>
  <c r="E301" i="1"/>
  <c r="D301" i="1"/>
  <c r="C301" i="1"/>
  <c r="B301" i="1"/>
  <c r="A301" i="1"/>
  <c r="E300" i="1"/>
  <c r="D300" i="1"/>
  <c r="C300" i="1"/>
  <c r="B300" i="1"/>
  <c r="A300" i="1"/>
  <c r="E299" i="1"/>
  <c r="D299" i="1"/>
  <c r="C299" i="1"/>
  <c r="B299" i="1"/>
  <c r="A299" i="1"/>
  <c r="E298" i="1"/>
  <c r="D298" i="1"/>
  <c r="C298" i="1"/>
  <c r="B298" i="1"/>
  <c r="A298" i="1"/>
  <c r="E297" i="1"/>
  <c r="D297" i="1"/>
  <c r="C297" i="1"/>
  <c r="B297" i="1"/>
  <c r="A297" i="1"/>
  <c r="E296" i="1"/>
  <c r="D296" i="1"/>
  <c r="C296" i="1"/>
  <c r="B296" i="1"/>
  <c r="A296" i="1"/>
  <c r="E295" i="1"/>
  <c r="D295" i="1"/>
  <c r="C295" i="1"/>
  <c r="B295" i="1"/>
  <c r="A295" i="1"/>
  <c r="E294" i="1"/>
  <c r="D294" i="1"/>
  <c r="C294" i="1"/>
  <c r="B294" i="1"/>
  <c r="A294" i="1"/>
  <c r="E293" i="1"/>
  <c r="D293" i="1"/>
  <c r="C293" i="1"/>
  <c r="B293" i="1"/>
  <c r="A293" i="1"/>
  <c r="E292" i="1"/>
  <c r="D292" i="1"/>
  <c r="C292" i="1"/>
  <c r="B292" i="1"/>
  <c r="A292" i="1"/>
  <c r="E291" i="1"/>
  <c r="D291" i="1"/>
  <c r="C291" i="1"/>
  <c r="B291" i="1"/>
  <c r="A291" i="1"/>
  <c r="E290" i="1"/>
  <c r="D290" i="1"/>
  <c r="C290" i="1"/>
  <c r="B290" i="1"/>
  <c r="A290" i="1"/>
  <c r="E289" i="1"/>
  <c r="D289" i="1"/>
  <c r="C289" i="1"/>
  <c r="B289" i="1"/>
  <c r="A289" i="1"/>
  <c r="E288" i="1"/>
  <c r="D288" i="1"/>
  <c r="C288" i="1"/>
  <c r="B288" i="1"/>
  <c r="A288" i="1"/>
  <c r="E287" i="1"/>
  <c r="D287" i="1"/>
  <c r="C287" i="1"/>
  <c r="B287" i="1"/>
  <c r="A287" i="1"/>
  <c r="E286" i="1"/>
  <c r="D286" i="1"/>
  <c r="C286" i="1"/>
  <c r="B286" i="1"/>
  <c r="A286" i="1"/>
  <c r="E285" i="1"/>
  <c r="D285" i="1"/>
  <c r="C285" i="1"/>
  <c r="B285" i="1"/>
  <c r="A285" i="1"/>
  <c r="E284" i="1"/>
  <c r="D284" i="1"/>
  <c r="C284" i="1"/>
  <c r="B284" i="1"/>
  <c r="A284" i="1"/>
  <c r="E283" i="1"/>
  <c r="D283" i="1"/>
  <c r="C283" i="1"/>
  <c r="B283" i="1"/>
  <c r="A283" i="1"/>
  <c r="E282" i="1"/>
  <c r="D282" i="1"/>
  <c r="C282" i="1"/>
  <c r="B282" i="1"/>
  <c r="A282" i="1"/>
  <c r="E281" i="1"/>
  <c r="D281" i="1"/>
  <c r="C281" i="1"/>
  <c r="B281" i="1"/>
  <c r="A281" i="1"/>
  <c r="E280" i="1"/>
  <c r="D280" i="1"/>
  <c r="C280" i="1"/>
  <c r="B280" i="1"/>
  <c r="A280" i="1"/>
  <c r="E279" i="1"/>
  <c r="D279" i="1"/>
  <c r="C279" i="1"/>
  <c r="B279" i="1"/>
  <c r="A279" i="1"/>
  <c r="E278" i="1"/>
  <c r="D278" i="1"/>
  <c r="C278" i="1"/>
  <c r="B278" i="1"/>
  <c r="A278" i="1"/>
  <c r="E277" i="1"/>
  <c r="D277" i="1"/>
  <c r="C277" i="1"/>
  <c r="B277" i="1"/>
  <c r="A277" i="1"/>
  <c r="E276" i="1"/>
  <c r="D276" i="1"/>
  <c r="C276" i="1"/>
  <c r="B276" i="1"/>
  <c r="A276" i="1"/>
  <c r="E275" i="1"/>
  <c r="D275" i="1"/>
  <c r="C275" i="1"/>
  <c r="B275" i="1"/>
  <c r="A275" i="1"/>
  <c r="E274" i="1"/>
  <c r="D274" i="1"/>
  <c r="C274" i="1"/>
  <c r="B274" i="1"/>
  <c r="A274" i="1"/>
  <c r="E273" i="1"/>
  <c r="D273" i="1"/>
  <c r="C273" i="1"/>
  <c r="B273" i="1"/>
  <c r="A273" i="1"/>
  <c r="E272" i="1"/>
  <c r="D272" i="1"/>
  <c r="C272" i="1"/>
  <c r="B272" i="1"/>
  <c r="A272" i="1"/>
  <c r="E271" i="1"/>
  <c r="D271" i="1"/>
  <c r="C271" i="1"/>
  <c r="B271" i="1"/>
  <c r="A271" i="1"/>
  <c r="E270" i="1"/>
  <c r="D270" i="1"/>
  <c r="C270" i="1"/>
  <c r="B270" i="1"/>
  <c r="A270" i="1"/>
  <c r="E269" i="1"/>
  <c r="D269" i="1"/>
  <c r="C269" i="1"/>
  <c r="B269" i="1"/>
  <c r="A269" i="1"/>
  <c r="E268" i="1"/>
  <c r="D268" i="1"/>
  <c r="C268" i="1"/>
  <c r="B268" i="1"/>
  <c r="A268" i="1"/>
  <c r="E267" i="1"/>
  <c r="D267" i="1"/>
  <c r="C267" i="1"/>
  <c r="B267" i="1"/>
  <c r="A267" i="1"/>
  <c r="E266" i="1"/>
  <c r="D266" i="1"/>
  <c r="C266" i="1"/>
  <c r="B266" i="1"/>
  <c r="A266" i="1"/>
  <c r="E265" i="1"/>
  <c r="D265" i="1"/>
  <c r="C265" i="1"/>
  <c r="B265" i="1"/>
  <c r="A265" i="1"/>
  <c r="E264" i="1"/>
  <c r="D264" i="1"/>
  <c r="C264" i="1"/>
  <c r="B264" i="1"/>
  <c r="A264" i="1"/>
  <c r="E263" i="1"/>
  <c r="D263" i="1"/>
  <c r="C263" i="1"/>
  <c r="B263" i="1"/>
  <c r="A263" i="1"/>
  <c r="E262" i="1"/>
  <c r="D262" i="1"/>
  <c r="C262" i="1"/>
  <c r="B262" i="1"/>
  <c r="A262" i="1"/>
  <c r="E261" i="1"/>
  <c r="D261" i="1"/>
  <c r="C261" i="1"/>
  <c r="B261" i="1"/>
  <c r="A261" i="1"/>
  <c r="E260" i="1"/>
  <c r="D260" i="1"/>
  <c r="C260" i="1"/>
  <c r="B260" i="1"/>
  <c r="A260" i="1"/>
  <c r="E259" i="1"/>
  <c r="D259" i="1"/>
  <c r="C259" i="1"/>
  <c r="B259" i="1"/>
  <c r="A259" i="1"/>
  <c r="E258" i="1"/>
  <c r="D258" i="1"/>
  <c r="C258" i="1"/>
  <c r="B258" i="1"/>
  <c r="A258" i="1"/>
  <c r="E257" i="1"/>
  <c r="D257" i="1"/>
  <c r="C257" i="1"/>
  <c r="B257" i="1"/>
  <c r="A257" i="1"/>
  <c r="E256" i="1"/>
  <c r="D256" i="1"/>
  <c r="C256" i="1"/>
  <c r="B256" i="1"/>
  <c r="A256" i="1"/>
  <c r="E255" i="1"/>
  <c r="D255" i="1"/>
  <c r="C255" i="1"/>
  <c r="B255" i="1"/>
  <c r="A255" i="1"/>
  <c r="E254" i="1"/>
  <c r="D254" i="1"/>
  <c r="C254" i="1"/>
  <c r="B254" i="1"/>
  <c r="A254" i="1"/>
  <c r="E253" i="1"/>
  <c r="D253" i="1"/>
  <c r="C253" i="1"/>
  <c r="B253" i="1"/>
  <c r="A253" i="1"/>
  <c r="E252" i="1"/>
  <c r="D252" i="1"/>
  <c r="C252" i="1"/>
  <c r="B252" i="1"/>
  <c r="A252" i="1"/>
  <c r="E251" i="1"/>
  <c r="D251" i="1"/>
  <c r="C251" i="1"/>
  <c r="B251" i="1"/>
  <c r="A251" i="1"/>
  <c r="E250" i="1"/>
  <c r="D250" i="1"/>
  <c r="C250" i="1"/>
  <c r="B250" i="1"/>
  <c r="A250" i="1"/>
  <c r="E249" i="1"/>
  <c r="D249" i="1"/>
  <c r="C249" i="1"/>
  <c r="B249" i="1"/>
  <c r="A249" i="1"/>
  <c r="E248" i="1"/>
  <c r="D248" i="1"/>
  <c r="C248" i="1"/>
  <c r="B248" i="1"/>
  <c r="A248" i="1"/>
  <c r="E247" i="1"/>
  <c r="D247" i="1"/>
  <c r="C247" i="1"/>
  <c r="B247" i="1"/>
  <c r="A247" i="1"/>
  <c r="E246" i="1"/>
  <c r="D246" i="1"/>
  <c r="C246" i="1"/>
  <c r="B246" i="1"/>
  <c r="A246" i="1"/>
  <c r="E245" i="1"/>
  <c r="D245" i="1"/>
  <c r="C245" i="1"/>
  <c r="B245" i="1"/>
  <c r="A245" i="1"/>
  <c r="E244" i="1"/>
  <c r="D244" i="1"/>
  <c r="C244" i="1"/>
  <c r="B244" i="1"/>
  <c r="A244" i="1"/>
  <c r="E243" i="1"/>
  <c r="D243" i="1"/>
  <c r="C243" i="1"/>
  <c r="B243" i="1"/>
  <c r="A243" i="1"/>
  <c r="E242" i="1"/>
  <c r="D242" i="1"/>
  <c r="C242" i="1"/>
  <c r="B242" i="1"/>
  <c r="A242" i="1"/>
  <c r="E241" i="1"/>
  <c r="D241" i="1"/>
  <c r="C241" i="1"/>
  <c r="B241" i="1"/>
  <c r="A241" i="1"/>
  <c r="E240" i="1"/>
  <c r="D240" i="1"/>
  <c r="C240" i="1"/>
  <c r="B240" i="1"/>
  <c r="A240" i="1"/>
  <c r="E239" i="1"/>
  <c r="D239" i="1"/>
  <c r="C239" i="1"/>
  <c r="B239" i="1"/>
  <c r="A239" i="1"/>
  <c r="E238" i="1"/>
  <c r="D238" i="1"/>
  <c r="C238" i="1"/>
  <c r="B238" i="1"/>
  <c r="A238" i="1"/>
  <c r="E237" i="1"/>
  <c r="D237" i="1"/>
  <c r="C237" i="1"/>
  <c r="B237" i="1"/>
  <c r="A237" i="1"/>
  <c r="E236" i="1"/>
  <c r="D236" i="1"/>
  <c r="C236" i="1"/>
  <c r="B236" i="1"/>
  <c r="A236" i="1"/>
  <c r="E235" i="1"/>
  <c r="D235" i="1"/>
  <c r="C235" i="1"/>
  <c r="B235" i="1"/>
  <c r="A235" i="1"/>
  <c r="E234" i="1"/>
  <c r="D234" i="1"/>
  <c r="C234" i="1"/>
  <c r="B234" i="1"/>
  <c r="A234" i="1"/>
  <c r="E233" i="1"/>
  <c r="D233" i="1"/>
  <c r="C233" i="1"/>
  <c r="B233" i="1"/>
  <c r="A233" i="1"/>
  <c r="E232" i="1"/>
  <c r="D232" i="1"/>
  <c r="C232" i="1"/>
  <c r="B232" i="1"/>
  <c r="A232" i="1"/>
  <c r="E231" i="1"/>
  <c r="D231" i="1"/>
  <c r="C231" i="1"/>
  <c r="B231" i="1"/>
  <c r="A231" i="1"/>
  <c r="E230" i="1"/>
  <c r="D230" i="1"/>
  <c r="C230" i="1"/>
  <c r="B230" i="1"/>
  <c r="A230" i="1"/>
  <c r="E229" i="1"/>
  <c r="D229" i="1"/>
  <c r="C229" i="1"/>
  <c r="B229" i="1"/>
  <c r="A229" i="1"/>
  <c r="E228" i="1"/>
  <c r="D228" i="1"/>
  <c r="C228" i="1"/>
  <c r="B228" i="1"/>
  <c r="A228" i="1"/>
  <c r="E227" i="1"/>
  <c r="D227" i="1"/>
  <c r="C227" i="1"/>
  <c r="B227" i="1"/>
  <c r="A227" i="1"/>
  <c r="E226" i="1"/>
  <c r="D226" i="1"/>
  <c r="C226" i="1"/>
  <c r="B226" i="1"/>
  <c r="A226" i="1"/>
  <c r="E225" i="1"/>
  <c r="D225" i="1"/>
  <c r="C225" i="1"/>
  <c r="B225" i="1"/>
  <c r="A225" i="1"/>
  <c r="E224" i="1"/>
  <c r="D224" i="1"/>
  <c r="C224" i="1"/>
  <c r="B224" i="1"/>
  <c r="A224" i="1"/>
  <c r="E223" i="1"/>
  <c r="D223" i="1"/>
  <c r="C223" i="1"/>
  <c r="B223" i="1"/>
  <c r="A223" i="1"/>
  <c r="E222" i="1"/>
  <c r="D222" i="1"/>
  <c r="C222" i="1"/>
  <c r="B222" i="1"/>
  <c r="A222" i="1"/>
  <c r="E221" i="1"/>
  <c r="D221" i="1"/>
  <c r="C221" i="1"/>
  <c r="B221" i="1"/>
  <c r="A221" i="1"/>
  <c r="E220" i="1"/>
  <c r="D220" i="1"/>
  <c r="C220" i="1"/>
  <c r="B220" i="1"/>
  <c r="A220" i="1"/>
  <c r="E219" i="1"/>
  <c r="D219" i="1"/>
  <c r="C219" i="1"/>
  <c r="B219" i="1"/>
  <c r="A219" i="1"/>
  <c r="E218" i="1"/>
  <c r="D218" i="1"/>
  <c r="C218" i="1"/>
  <c r="B218" i="1"/>
  <c r="A218" i="1"/>
  <c r="E217" i="1"/>
  <c r="D217" i="1"/>
  <c r="C217" i="1"/>
  <c r="B217" i="1"/>
  <c r="A217" i="1"/>
  <c r="E216" i="1"/>
  <c r="D216" i="1"/>
  <c r="C216" i="1"/>
  <c r="B216" i="1"/>
  <c r="A216" i="1"/>
  <c r="E215" i="1"/>
  <c r="D215" i="1"/>
  <c r="C215" i="1"/>
  <c r="B215" i="1"/>
  <c r="A215" i="1"/>
  <c r="E214" i="1"/>
  <c r="D214" i="1"/>
  <c r="C214" i="1"/>
  <c r="B214" i="1"/>
  <c r="A214" i="1"/>
  <c r="E213" i="1"/>
  <c r="D213" i="1"/>
  <c r="C213" i="1"/>
  <c r="B213" i="1"/>
  <c r="A213" i="1"/>
  <c r="E212" i="1"/>
  <c r="D212" i="1"/>
  <c r="C212" i="1"/>
  <c r="B212" i="1"/>
  <c r="A212" i="1"/>
  <c r="E211" i="1"/>
  <c r="D211" i="1"/>
  <c r="C211" i="1"/>
  <c r="B211" i="1"/>
  <c r="A211" i="1"/>
  <c r="E210" i="1"/>
  <c r="D210" i="1"/>
  <c r="C210" i="1"/>
  <c r="B210" i="1"/>
  <c r="A210" i="1"/>
  <c r="E209" i="1"/>
  <c r="D209" i="1"/>
  <c r="C209" i="1"/>
  <c r="B209" i="1"/>
  <c r="A209" i="1"/>
  <c r="E208" i="1"/>
  <c r="D208" i="1"/>
  <c r="C208" i="1"/>
  <c r="B208" i="1"/>
  <c r="A208" i="1"/>
  <c r="E207" i="1"/>
  <c r="D207" i="1"/>
  <c r="C207" i="1"/>
  <c r="B207" i="1"/>
  <c r="A207" i="1"/>
  <c r="E206" i="1"/>
  <c r="D206" i="1"/>
  <c r="C206" i="1"/>
  <c r="B206" i="1"/>
  <c r="A206" i="1"/>
  <c r="E205" i="1"/>
  <c r="D205" i="1"/>
  <c r="C205" i="1"/>
  <c r="B205" i="1"/>
  <c r="A205" i="1"/>
  <c r="E204" i="1"/>
  <c r="D204" i="1"/>
  <c r="C204" i="1"/>
  <c r="B204" i="1"/>
  <c r="A204" i="1"/>
  <c r="E203" i="1"/>
  <c r="D203" i="1"/>
  <c r="C203" i="1"/>
  <c r="B203" i="1"/>
  <c r="A203" i="1"/>
  <c r="E202" i="1"/>
  <c r="D202" i="1"/>
  <c r="C202" i="1"/>
  <c r="B202" i="1"/>
  <c r="A202" i="1"/>
  <c r="E201" i="1"/>
  <c r="D201" i="1"/>
  <c r="C201" i="1"/>
  <c r="B201" i="1"/>
  <c r="A201" i="1"/>
  <c r="E200" i="1"/>
  <c r="D200" i="1"/>
  <c r="C200" i="1"/>
  <c r="B200" i="1"/>
  <c r="A200" i="1"/>
  <c r="E199" i="1"/>
  <c r="D199" i="1"/>
  <c r="C199" i="1"/>
  <c r="B199" i="1"/>
  <c r="A199" i="1"/>
  <c r="E198" i="1"/>
  <c r="D198" i="1"/>
  <c r="C198" i="1"/>
  <c r="B198" i="1"/>
  <c r="A198" i="1"/>
  <c r="E197" i="1"/>
  <c r="D197" i="1"/>
  <c r="C197" i="1"/>
  <c r="B197" i="1"/>
  <c r="A197" i="1"/>
  <c r="E196" i="1"/>
  <c r="D196" i="1"/>
  <c r="C196" i="1"/>
  <c r="B196" i="1"/>
  <c r="A196" i="1"/>
  <c r="E195" i="1"/>
  <c r="D195" i="1"/>
  <c r="C195" i="1"/>
  <c r="B195" i="1"/>
  <c r="A195" i="1"/>
  <c r="E194" i="1"/>
  <c r="D194" i="1"/>
  <c r="C194" i="1"/>
  <c r="B194" i="1"/>
  <c r="A194" i="1"/>
  <c r="E193" i="1"/>
  <c r="D193" i="1"/>
  <c r="C193" i="1"/>
  <c r="B193" i="1"/>
  <c r="A193" i="1"/>
  <c r="E192" i="1"/>
  <c r="D192" i="1"/>
  <c r="C192" i="1"/>
  <c r="B192" i="1"/>
  <c r="A192" i="1"/>
  <c r="E191" i="1"/>
  <c r="D191" i="1"/>
  <c r="C191" i="1"/>
  <c r="B191" i="1"/>
  <c r="A191" i="1"/>
  <c r="E190" i="1"/>
  <c r="D190" i="1"/>
  <c r="C190" i="1"/>
  <c r="B190" i="1"/>
  <c r="A190" i="1"/>
  <c r="E189" i="1"/>
  <c r="D189" i="1"/>
  <c r="C189" i="1"/>
  <c r="B189" i="1"/>
  <c r="A189" i="1"/>
  <c r="E188" i="1"/>
  <c r="D188" i="1"/>
  <c r="C188" i="1"/>
  <c r="B188" i="1"/>
  <c r="A188" i="1"/>
  <c r="E187" i="1"/>
  <c r="D187" i="1"/>
  <c r="C187" i="1"/>
  <c r="B187" i="1"/>
  <c r="A187" i="1"/>
  <c r="E186" i="1"/>
  <c r="D186" i="1"/>
  <c r="C186" i="1"/>
  <c r="B186" i="1"/>
  <c r="A186" i="1"/>
  <c r="E185" i="1"/>
  <c r="D185" i="1"/>
  <c r="C185" i="1"/>
  <c r="B185" i="1"/>
  <c r="A185" i="1"/>
  <c r="E184" i="1"/>
  <c r="D184" i="1"/>
  <c r="C184" i="1"/>
  <c r="B184" i="1"/>
  <c r="A184" i="1"/>
  <c r="E183" i="1"/>
  <c r="D183" i="1"/>
  <c r="C183" i="1"/>
  <c r="B183" i="1"/>
  <c r="A183" i="1"/>
  <c r="E182" i="1"/>
  <c r="D182" i="1"/>
  <c r="C182" i="1"/>
  <c r="B182" i="1"/>
  <c r="A182" i="1"/>
  <c r="E181" i="1"/>
  <c r="D181" i="1"/>
  <c r="C181" i="1"/>
  <c r="B181" i="1"/>
  <c r="A181" i="1"/>
  <c r="E180" i="1"/>
  <c r="D180" i="1"/>
  <c r="C180" i="1"/>
  <c r="B180" i="1"/>
  <c r="A180" i="1"/>
  <c r="E179" i="1"/>
  <c r="D179" i="1"/>
  <c r="C179" i="1"/>
  <c r="B179" i="1"/>
  <c r="A179" i="1"/>
  <c r="E178" i="1"/>
  <c r="D178" i="1"/>
  <c r="C178" i="1"/>
  <c r="B178" i="1"/>
  <c r="A178" i="1"/>
  <c r="E177" i="1"/>
  <c r="D177" i="1"/>
  <c r="C177" i="1"/>
  <c r="B177" i="1"/>
  <c r="A177" i="1"/>
  <c r="E176" i="1"/>
  <c r="D176" i="1"/>
  <c r="C176" i="1"/>
  <c r="B176" i="1"/>
  <c r="A176" i="1"/>
  <c r="E175" i="1"/>
  <c r="D175" i="1"/>
  <c r="C175" i="1"/>
  <c r="B175" i="1"/>
  <c r="A175" i="1"/>
  <c r="E174" i="1"/>
  <c r="D174" i="1"/>
  <c r="C174" i="1"/>
  <c r="B174" i="1"/>
  <c r="A174" i="1"/>
  <c r="E173" i="1"/>
  <c r="D173" i="1"/>
  <c r="C173" i="1"/>
  <c r="B173" i="1"/>
  <c r="A173" i="1"/>
  <c r="E172" i="1"/>
  <c r="D172" i="1"/>
  <c r="C172" i="1"/>
  <c r="B172" i="1"/>
  <c r="A172" i="1"/>
  <c r="E171" i="1"/>
  <c r="D171" i="1"/>
  <c r="C171" i="1"/>
  <c r="B171" i="1"/>
  <c r="A171" i="1"/>
  <c r="E170" i="1"/>
  <c r="D170" i="1"/>
  <c r="C170" i="1"/>
  <c r="B170" i="1"/>
  <c r="A170" i="1"/>
  <c r="E169" i="1"/>
  <c r="D169" i="1"/>
  <c r="C169" i="1"/>
  <c r="B169" i="1"/>
  <c r="A169" i="1"/>
  <c r="E168" i="1"/>
  <c r="D168" i="1"/>
  <c r="C168" i="1"/>
  <c r="B168" i="1"/>
  <c r="A168" i="1"/>
  <c r="E167" i="1"/>
  <c r="D167" i="1"/>
  <c r="C167" i="1"/>
  <c r="B167" i="1"/>
  <c r="A167" i="1"/>
  <c r="E166" i="1"/>
  <c r="D166" i="1"/>
  <c r="C166" i="1"/>
  <c r="B166" i="1"/>
  <c r="A166" i="1"/>
  <c r="E165" i="1"/>
  <c r="D165" i="1"/>
  <c r="C165" i="1"/>
  <c r="B165" i="1"/>
  <c r="A165" i="1"/>
  <c r="E164" i="1"/>
  <c r="D164" i="1"/>
  <c r="C164" i="1"/>
  <c r="B164" i="1"/>
  <c r="A164" i="1"/>
  <c r="E163" i="1"/>
  <c r="D163" i="1"/>
  <c r="C163" i="1"/>
  <c r="B163" i="1"/>
  <c r="A163" i="1"/>
  <c r="E162" i="1"/>
  <c r="D162" i="1"/>
  <c r="C162" i="1"/>
  <c r="B162" i="1"/>
  <c r="A162" i="1"/>
  <c r="E161" i="1"/>
  <c r="D161" i="1"/>
  <c r="C161" i="1"/>
  <c r="B161" i="1"/>
  <c r="A161" i="1"/>
  <c r="E160" i="1"/>
  <c r="D160" i="1"/>
  <c r="C160" i="1"/>
  <c r="B160" i="1"/>
  <c r="A160" i="1"/>
  <c r="E159" i="1"/>
  <c r="D159" i="1"/>
  <c r="C159" i="1"/>
  <c r="B159" i="1"/>
  <c r="A159" i="1"/>
  <c r="E158" i="1"/>
  <c r="D158" i="1"/>
  <c r="C158" i="1"/>
  <c r="B158" i="1"/>
  <c r="A158" i="1"/>
  <c r="E157" i="1"/>
  <c r="D157" i="1"/>
  <c r="C157" i="1"/>
  <c r="B157" i="1"/>
  <c r="A157" i="1"/>
  <c r="E156" i="1"/>
  <c r="D156" i="1"/>
  <c r="C156" i="1"/>
  <c r="B156" i="1"/>
  <c r="A156" i="1"/>
  <c r="E155" i="1"/>
  <c r="D155" i="1"/>
  <c r="C155" i="1"/>
  <c r="B155" i="1"/>
  <c r="A155" i="1"/>
  <c r="E154" i="1"/>
  <c r="D154" i="1"/>
  <c r="C154" i="1"/>
  <c r="B154" i="1"/>
  <c r="A154" i="1"/>
  <c r="E153" i="1"/>
  <c r="D153" i="1"/>
  <c r="C153" i="1"/>
  <c r="B153" i="1"/>
  <c r="A153" i="1"/>
  <c r="E152" i="1"/>
  <c r="D152" i="1"/>
  <c r="C152" i="1"/>
  <c r="B152" i="1"/>
  <c r="A152" i="1"/>
  <c r="E151" i="1"/>
  <c r="D151" i="1"/>
  <c r="C151" i="1"/>
  <c r="B151" i="1"/>
  <c r="A151" i="1"/>
  <c r="E150" i="1"/>
  <c r="D150" i="1"/>
  <c r="C150" i="1"/>
  <c r="B150" i="1"/>
  <c r="A150" i="1"/>
  <c r="E149" i="1"/>
  <c r="D149" i="1"/>
  <c r="C149" i="1"/>
  <c r="B149" i="1"/>
  <c r="A149" i="1"/>
  <c r="E148" i="1"/>
  <c r="D148" i="1"/>
  <c r="C148" i="1"/>
  <c r="B148" i="1"/>
  <c r="A148" i="1"/>
  <c r="E147" i="1"/>
  <c r="D147" i="1"/>
  <c r="C147" i="1"/>
  <c r="B147" i="1"/>
  <c r="A147" i="1"/>
  <c r="E146" i="1"/>
  <c r="D146" i="1"/>
  <c r="C146" i="1"/>
  <c r="B146" i="1"/>
  <c r="A146" i="1"/>
  <c r="E145" i="1"/>
  <c r="D145" i="1"/>
  <c r="C145" i="1"/>
  <c r="B145" i="1"/>
  <c r="A145" i="1"/>
  <c r="E144" i="1"/>
  <c r="D144" i="1"/>
  <c r="C144" i="1"/>
  <c r="B144" i="1"/>
  <c r="A144" i="1"/>
  <c r="E143" i="1"/>
  <c r="D143" i="1"/>
  <c r="C143" i="1"/>
  <c r="B143" i="1"/>
  <c r="A143" i="1"/>
  <c r="E142" i="1"/>
  <c r="D142" i="1"/>
  <c r="C142" i="1"/>
  <c r="B142" i="1"/>
  <c r="A142" i="1"/>
  <c r="E141" i="1"/>
  <c r="D141" i="1"/>
  <c r="C141" i="1"/>
  <c r="B141" i="1"/>
  <c r="A141" i="1"/>
  <c r="E140" i="1"/>
  <c r="D140" i="1"/>
  <c r="C140" i="1"/>
  <c r="B140" i="1"/>
  <c r="A140" i="1"/>
  <c r="E139" i="1"/>
  <c r="D139" i="1"/>
  <c r="C139" i="1"/>
  <c r="B139" i="1"/>
  <c r="A139" i="1"/>
  <c r="E138" i="1"/>
  <c r="D138" i="1"/>
  <c r="C138" i="1"/>
  <c r="B138" i="1"/>
  <c r="A138" i="1"/>
  <c r="E137" i="1"/>
  <c r="D137" i="1"/>
  <c r="C137" i="1"/>
  <c r="B137" i="1"/>
  <c r="A137" i="1"/>
  <c r="E136" i="1"/>
  <c r="D136" i="1"/>
  <c r="C136" i="1"/>
  <c r="B136" i="1"/>
  <c r="A136" i="1"/>
  <c r="E135" i="1"/>
  <c r="D135" i="1"/>
  <c r="C135" i="1"/>
  <c r="B135" i="1"/>
  <c r="A135" i="1"/>
  <c r="E134" i="1"/>
  <c r="D134" i="1"/>
  <c r="C134" i="1"/>
  <c r="B134" i="1"/>
  <c r="A134" i="1"/>
  <c r="E133" i="1"/>
  <c r="D133" i="1"/>
  <c r="C133" i="1"/>
  <c r="B133" i="1"/>
  <c r="A133" i="1"/>
  <c r="E132" i="1"/>
  <c r="D132" i="1"/>
  <c r="C132" i="1"/>
  <c r="B132" i="1"/>
  <c r="A132" i="1"/>
  <c r="E131" i="1"/>
  <c r="D131" i="1"/>
  <c r="C131" i="1"/>
  <c r="B131" i="1"/>
  <c r="A131" i="1"/>
  <c r="E130" i="1"/>
  <c r="D130" i="1"/>
  <c r="C130" i="1"/>
  <c r="B130" i="1"/>
  <c r="A130" i="1"/>
  <c r="E129" i="1"/>
  <c r="D129" i="1"/>
  <c r="C129" i="1"/>
  <c r="B129" i="1"/>
  <c r="A129" i="1"/>
  <c r="E128" i="1"/>
  <c r="D128" i="1"/>
  <c r="C128" i="1"/>
  <c r="B128" i="1"/>
  <c r="A128" i="1"/>
  <c r="E127" i="1"/>
  <c r="D127" i="1"/>
  <c r="C127" i="1"/>
  <c r="B127" i="1"/>
  <c r="A127" i="1"/>
  <c r="E126" i="1"/>
  <c r="D126" i="1"/>
  <c r="C126" i="1"/>
  <c r="B126" i="1"/>
  <c r="A126" i="1"/>
  <c r="E125" i="1"/>
  <c r="D125" i="1"/>
  <c r="C125" i="1"/>
  <c r="B125" i="1"/>
  <c r="A125" i="1"/>
  <c r="E124" i="1"/>
  <c r="D124" i="1"/>
  <c r="C124" i="1"/>
  <c r="B124" i="1"/>
  <c r="A124" i="1"/>
  <c r="E123" i="1"/>
  <c r="D123" i="1"/>
  <c r="C123" i="1"/>
  <c r="B123" i="1"/>
  <c r="A123" i="1"/>
  <c r="E122" i="1"/>
  <c r="D122" i="1"/>
  <c r="C122" i="1"/>
  <c r="B122" i="1"/>
  <c r="A122" i="1"/>
  <c r="E121" i="1"/>
  <c r="D121" i="1"/>
  <c r="C121" i="1"/>
  <c r="B121" i="1"/>
  <c r="A121" i="1"/>
  <c r="E120" i="1"/>
  <c r="D120" i="1"/>
  <c r="C120" i="1"/>
  <c r="B120" i="1"/>
  <c r="A120" i="1"/>
  <c r="E119" i="1"/>
  <c r="D119" i="1"/>
  <c r="C119" i="1"/>
  <c r="B119" i="1"/>
  <c r="A119" i="1"/>
  <c r="E118" i="1"/>
  <c r="D118" i="1"/>
  <c r="C118" i="1"/>
  <c r="B118" i="1"/>
  <c r="A118" i="1"/>
  <c r="E117" i="1"/>
  <c r="D117" i="1"/>
  <c r="C117" i="1"/>
  <c r="B117" i="1"/>
  <c r="A117" i="1"/>
  <c r="E116" i="1"/>
  <c r="D116" i="1"/>
  <c r="C116" i="1"/>
  <c r="B116" i="1"/>
  <c r="A116" i="1"/>
  <c r="E115" i="1"/>
  <c r="D115" i="1"/>
  <c r="C115" i="1"/>
  <c r="B115" i="1"/>
  <c r="A115" i="1"/>
  <c r="E114" i="1"/>
  <c r="D114" i="1"/>
  <c r="C114" i="1"/>
  <c r="B114" i="1"/>
  <c r="A114" i="1"/>
  <c r="E113" i="1"/>
  <c r="D113" i="1"/>
  <c r="C113" i="1"/>
  <c r="B113" i="1"/>
  <c r="A113" i="1"/>
  <c r="E112" i="1"/>
  <c r="D112" i="1"/>
  <c r="C112" i="1"/>
  <c r="B112" i="1"/>
  <c r="A112" i="1"/>
  <c r="E111" i="1"/>
  <c r="D111" i="1"/>
  <c r="C111" i="1"/>
  <c r="B111" i="1"/>
  <c r="A111" i="1"/>
  <c r="E110" i="1"/>
  <c r="D110" i="1"/>
  <c r="C110" i="1"/>
  <c r="B110" i="1"/>
  <c r="A110" i="1"/>
  <c r="E109" i="1"/>
  <c r="D109" i="1"/>
  <c r="C109" i="1"/>
  <c r="B109" i="1"/>
  <c r="A109" i="1"/>
  <c r="E108" i="1"/>
  <c r="D108" i="1"/>
  <c r="C108" i="1"/>
  <c r="B108" i="1"/>
  <c r="A108" i="1"/>
  <c r="E107" i="1"/>
  <c r="D107" i="1"/>
  <c r="C107" i="1"/>
  <c r="B107" i="1"/>
  <c r="A107" i="1"/>
  <c r="E106" i="1"/>
  <c r="D106" i="1"/>
  <c r="C106" i="1"/>
  <c r="B106" i="1"/>
  <c r="A106" i="1"/>
  <c r="E105" i="1"/>
  <c r="D105" i="1"/>
  <c r="C105" i="1"/>
  <c r="B105" i="1"/>
  <c r="A105" i="1"/>
  <c r="E104" i="1"/>
  <c r="D104" i="1"/>
  <c r="C104" i="1"/>
  <c r="B104" i="1"/>
  <c r="A104" i="1"/>
  <c r="E103" i="1"/>
  <c r="D103" i="1"/>
  <c r="C103" i="1"/>
  <c r="B103" i="1"/>
  <c r="A103" i="1"/>
  <c r="E102" i="1"/>
  <c r="D102" i="1"/>
  <c r="C102" i="1"/>
  <c r="B102" i="1"/>
  <c r="A102" i="1"/>
  <c r="E101" i="1"/>
  <c r="D101" i="1"/>
  <c r="C101" i="1"/>
  <c r="B101" i="1"/>
  <c r="A101" i="1"/>
  <c r="E100" i="1"/>
  <c r="K100" i="2" s="1"/>
  <c r="D100" i="1"/>
  <c r="A100" i="2" s="1"/>
  <c r="C100" i="1"/>
  <c r="C100" i="2" s="1"/>
  <c r="B100" i="1"/>
  <c r="B100" i="2" s="1"/>
  <c r="A100" i="1"/>
  <c r="E99" i="1"/>
  <c r="K99" i="2" s="1"/>
  <c r="D99" i="1"/>
  <c r="A99" i="2" s="1"/>
  <c r="C99" i="1"/>
  <c r="C99" i="2" s="1"/>
  <c r="B99" i="1"/>
  <c r="B99" i="2" s="1"/>
  <c r="A99" i="1"/>
  <c r="E98" i="1"/>
  <c r="K98" i="2" s="1"/>
  <c r="D98" i="1"/>
  <c r="A98" i="2" s="1"/>
  <c r="C98" i="1"/>
  <c r="C98" i="2" s="1"/>
  <c r="B98" i="1"/>
  <c r="B98" i="2" s="1"/>
  <c r="E97" i="1"/>
  <c r="K97" i="2" s="1"/>
  <c r="D97" i="1"/>
  <c r="A97" i="2" s="1"/>
  <c r="C97" i="1"/>
  <c r="C97" i="2" s="1"/>
  <c r="B97" i="1"/>
  <c r="B97" i="2" s="1"/>
  <c r="E96" i="1"/>
  <c r="K96" i="2" s="1"/>
  <c r="D96" i="1"/>
  <c r="A96" i="2" s="1"/>
  <c r="C96" i="1"/>
  <c r="C96" i="2" s="1"/>
  <c r="B96" i="1"/>
  <c r="B96" i="2" s="1"/>
  <c r="E95" i="1"/>
  <c r="K95" i="2" s="1"/>
  <c r="D95" i="1"/>
  <c r="A95" i="2" s="1"/>
  <c r="C95" i="1"/>
  <c r="C95" i="2" s="1"/>
  <c r="B95" i="1"/>
  <c r="B95" i="2" s="1"/>
  <c r="A95" i="1"/>
  <c r="E94" i="1"/>
  <c r="K94" i="2" s="1"/>
  <c r="D94" i="1"/>
  <c r="A94" i="2" s="1"/>
  <c r="C94" i="1"/>
  <c r="C94" i="2" s="1"/>
  <c r="B94" i="1"/>
  <c r="B94" i="2" s="1"/>
  <c r="E93" i="1"/>
  <c r="K93" i="2" s="1"/>
  <c r="D93" i="1"/>
  <c r="A93" i="2" s="1"/>
  <c r="C93" i="1"/>
  <c r="C93" i="2" s="1"/>
  <c r="B93" i="1"/>
  <c r="B93" i="2" s="1"/>
  <c r="A93" i="1"/>
  <c r="E92" i="1"/>
  <c r="K92" i="2" s="1"/>
  <c r="D92" i="1"/>
  <c r="A92" i="2" s="1"/>
  <c r="C92" i="1"/>
  <c r="C92" i="2" s="1"/>
  <c r="B92" i="1"/>
  <c r="B92" i="2" s="1"/>
  <c r="E91" i="1"/>
  <c r="K91" i="2" s="1"/>
  <c r="D91" i="1"/>
  <c r="A91" i="2" s="1"/>
  <c r="C91" i="1"/>
  <c r="C91" i="2" s="1"/>
  <c r="B91" i="1"/>
  <c r="B91" i="2" s="1"/>
  <c r="E90" i="1"/>
  <c r="K90" i="2" s="1"/>
  <c r="D90" i="1"/>
  <c r="A90" i="2" s="1"/>
  <c r="C90" i="1"/>
  <c r="C90" i="2" s="1"/>
  <c r="B90" i="1"/>
  <c r="B90" i="2" s="1"/>
  <c r="A90" i="1"/>
  <c r="E89" i="1"/>
  <c r="K89" i="2" s="1"/>
  <c r="D89" i="1"/>
  <c r="A89" i="2" s="1"/>
  <c r="C89" i="1"/>
  <c r="C89" i="2" s="1"/>
  <c r="B89" i="1"/>
  <c r="B89" i="2" s="1"/>
  <c r="A89" i="1"/>
  <c r="E88" i="1"/>
  <c r="K88" i="2" s="1"/>
  <c r="D88" i="1"/>
  <c r="A88" i="2" s="1"/>
  <c r="C88" i="1"/>
  <c r="C88" i="2" s="1"/>
  <c r="B88" i="1"/>
  <c r="B88" i="2" s="1"/>
  <c r="A88" i="1"/>
  <c r="E87" i="1"/>
  <c r="K87" i="2" s="1"/>
  <c r="D87" i="1"/>
  <c r="A87" i="2" s="1"/>
  <c r="C87" i="1"/>
  <c r="C87" i="2" s="1"/>
  <c r="B87" i="1"/>
  <c r="B87" i="2" s="1"/>
  <c r="E86" i="1"/>
  <c r="K86" i="2" s="1"/>
  <c r="D86" i="1"/>
  <c r="A86" i="2" s="1"/>
  <c r="C86" i="1"/>
  <c r="C86" i="2" s="1"/>
  <c r="B86" i="1"/>
  <c r="B86" i="2" s="1"/>
  <c r="A86" i="1"/>
  <c r="E85" i="1"/>
  <c r="K85" i="2" s="1"/>
  <c r="D85" i="1"/>
  <c r="A85" i="2" s="1"/>
  <c r="C85" i="1"/>
  <c r="C85" i="2" s="1"/>
  <c r="B85" i="1"/>
  <c r="B85" i="2" s="1"/>
  <c r="E84" i="1"/>
  <c r="K84" i="2" s="1"/>
  <c r="D84" i="1"/>
  <c r="A84" i="2" s="1"/>
  <c r="C84" i="1"/>
  <c r="C84" i="2" s="1"/>
  <c r="B84" i="1"/>
  <c r="B84" i="2" s="1"/>
  <c r="E83" i="1"/>
  <c r="K83" i="2" s="1"/>
  <c r="D83" i="1"/>
  <c r="A83" i="2" s="1"/>
  <c r="C83" i="1"/>
  <c r="C83" i="2" s="1"/>
  <c r="B83" i="1"/>
  <c r="B83" i="2" s="1"/>
  <c r="E82" i="1"/>
  <c r="K82" i="2" s="1"/>
  <c r="D82" i="1"/>
  <c r="A82" i="2" s="1"/>
  <c r="C82" i="1"/>
  <c r="C82" i="2" s="1"/>
  <c r="B82" i="1"/>
  <c r="B82" i="2" s="1"/>
  <c r="E81" i="1"/>
  <c r="K81" i="2" s="1"/>
  <c r="D81" i="1"/>
  <c r="A81" i="2" s="1"/>
  <c r="C81" i="1"/>
  <c r="C81" i="2" s="1"/>
  <c r="B81" i="1"/>
  <c r="B81" i="2" s="1"/>
  <c r="E80" i="1"/>
  <c r="K80" i="2" s="1"/>
  <c r="D80" i="1"/>
  <c r="A80" i="2" s="1"/>
  <c r="C80" i="1"/>
  <c r="C80" i="2" s="1"/>
  <c r="B80" i="1"/>
  <c r="B80" i="2" s="1"/>
  <c r="E79" i="1"/>
  <c r="K79" i="2" s="1"/>
  <c r="D79" i="1"/>
  <c r="A79" i="2" s="1"/>
  <c r="C79" i="1"/>
  <c r="C79" i="2" s="1"/>
  <c r="B79" i="1"/>
  <c r="B79" i="2" s="1"/>
  <c r="E78" i="1"/>
  <c r="K78" i="2" s="1"/>
  <c r="D78" i="1"/>
  <c r="A78" i="2" s="1"/>
  <c r="C78" i="1"/>
  <c r="C78" i="2" s="1"/>
  <c r="B78" i="1"/>
  <c r="B78" i="2" s="1"/>
  <c r="E77" i="1"/>
  <c r="K77" i="2" s="1"/>
  <c r="D77" i="1"/>
  <c r="A77" i="2" s="1"/>
  <c r="C77" i="1"/>
  <c r="C77" i="2" s="1"/>
  <c r="B77" i="1"/>
  <c r="B77" i="2" s="1"/>
  <c r="E76" i="1"/>
  <c r="K76" i="2" s="1"/>
  <c r="D76" i="1"/>
  <c r="A76" i="2" s="1"/>
  <c r="C76" i="1"/>
  <c r="C76" i="2" s="1"/>
  <c r="B76" i="1"/>
  <c r="B76" i="2" s="1"/>
  <c r="E75" i="1"/>
  <c r="K75" i="2" s="1"/>
  <c r="D75" i="1"/>
  <c r="A75" i="2" s="1"/>
  <c r="C75" i="1"/>
  <c r="C75" i="2" s="1"/>
  <c r="B75" i="1"/>
  <c r="B75" i="2" s="1"/>
  <c r="E74" i="1"/>
  <c r="K74" i="2" s="1"/>
  <c r="D74" i="1"/>
  <c r="A74" i="2" s="1"/>
  <c r="C74" i="1"/>
  <c r="C74" i="2" s="1"/>
  <c r="B74" i="1"/>
  <c r="B74" i="2" s="1"/>
  <c r="E73" i="1"/>
  <c r="K73" i="2" s="1"/>
  <c r="D73" i="1"/>
  <c r="A73" i="2" s="1"/>
  <c r="C73" i="1"/>
  <c r="C73" i="2" s="1"/>
  <c r="B73" i="1"/>
  <c r="B73" i="2" s="1"/>
  <c r="E72" i="1"/>
  <c r="K72" i="2" s="1"/>
  <c r="D72" i="1"/>
  <c r="A72" i="2" s="1"/>
  <c r="C72" i="1"/>
  <c r="C72" i="2" s="1"/>
  <c r="B72" i="1"/>
  <c r="B72" i="2" s="1"/>
  <c r="E71" i="1"/>
  <c r="K71" i="2" s="1"/>
  <c r="D71" i="1"/>
  <c r="A71" i="2" s="1"/>
  <c r="C71" i="1"/>
  <c r="C71" i="2" s="1"/>
  <c r="B71" i="1"/>
  <c r="B71" i="2" s="1"/>
  <c r="E70" i="1"/>
  <c r="K70" i="2" s="1"/>
  <c r="D70" i="1"/>
  <c r="A70" i="2" s="1"/>
  <c r="C70" i="1"/>
  <c r="C70" i="2" s="1"/>
  <c r="B70" i="1"/>
  <c r="B70" i="2" s="1"/>
  <c r="E69" i="1"/>
  <c r="K69" i="2" s="1"/>
  <c r="D69" i="1"/>
  <c r="A69" i="2" s="1"/>
  <c r="C69" i="1"/>
  <c r="C69" i="2" s="1"/>
  <c r="B69" i="1"/>
  <c r="B69" i="2" s="1"/>
  <c r="E68" i="1"/>
  <c r="K68" i="2" s="1"/>
  <c r="D68" i="1"/>
  <c r="A68" i="2" s="1"/>
  <c r="C68" i="1"/>
  <c r="C68" i="2" s="1"/>
  <c r="B68" i="1"/>
  <c r="B68" i="2" s="1"/>
  <c r="E67" i="1"/>
  <c r="K67" i="2" s="1"/>
  <c r="D67" i="1"/>
  <c r="A67" i="2" s="1"/>
  <c r="C67" i="1"/>
  <c r="C67" i="2" s="1"/>
  <c r="B67" i="1"/>
  <c r="B67" i="2" s="1"/>
  <c r="E66" i="1"/>
  <c r="K66" i="2" s="1"/>
  <c r="D66" i="1"/>
  <c r="A66" i="2" s="1"/>
  <c r="C66" i="1"/>
  <c r="C66" i="2" s="1"/>
  <c r="B66" i="1"/>
  <c r="B66" i="2" s="1"/>
  <c r="E65" i="1"/>
  <c r="K65" i="2" s="1"/>
  <c r="D65" i="1"/>
  <c r="A65" i="2" s="1"/>
  <c r="C65" i="1"/>
  <c r="C65" i="2" s="1"/>
  <c r="B65" i="1"/>
  <c r="B65" i="2" s="1"/>
  <c r="E64" i="1"/>
  <c r="K64" i="2" s="1"/>
  <c r="D64" i="1"/>
  <c r="A64" i="2" s="1"/>
  <c r="C64" i="1"/>
  <c r="C64" i="2" s="1"/>
  <c r="B64" i="1"/>
  <c r="B64" i="2" s="1"/>
  <c r="E63" i="1"/>
  <c r="K63" i="2" s="1"/>
  <c r="D63" i="1"/>
  <c r="A63" i="2" s="1"/>
  <c r="C63" i="1"/>
  <c r="C63" i="2" s="1"/>
  <c r="B63" i="1"/>
  <c r="B63" i="2" s="1"/>
  <c r="E62" i="1"/>
  <c r="K62" i="2" s="1"/>
  <c r="D62" i="1"/>
  <c r="A62" i="2" s="1"/>
  <c r="C62" i="1"/>
  <c r="C62" i="2" s="1"/>
  <c r="B62" i="1"/>
  <c r="B62" i="2" s="1"/>
  <c r="E61" i="1"/>
  <c r="K61" i="2" s="1"/>
  <c r="D61" i="1"/>
  <c r="A61" i="2" s="1"/>
  <c r="C61" i="1"/>
  <c r="C61" i="2" s="1"/>
  <c r="B61" i="1"/>
  <c r="B61" i="2" s="1"/>
  <c r="E60" i="1"/>
  <c r="K60" i="2" s="1"/>
  <c r="D60" i="1"/>
  <c r="A60" i="2" s="1"/>
  <c r="C60" i="1"/>
  <c r="C60" i="2" s="1"/>
  <c r="B60" i="1"/>
  <c r="B60" i="2" s="1"/>
  <c r="E59" i="1"/>
  <c r="K59" i="2" s="1"/>
  <c r="D59" i="1"/>
  <c r="A59" i="2" s="1"/>
  <c r="C59" i="1"/>
  <c r="C59" i="2" s="1"/>
  <c r="B59" i="1"/>
  <c r="B59" i="2" s="1"/>
  <c r="E58" i="1"/>
  <c r="K58" i="2" s="1"/>
  <c r="D58" i="1"/>
  <c r="A58" i="2" s="1"/>
  <c r="C58" i="1"/>
  <c r="C58" i="2" s="1"/>
  <c r="B58" i="1"/>
  <c r="B58" i="2" s="1"/>
  <c r="E57" i="1"/>
  <c r="K57" i="2" s="1"/>
  <c r="D57" i="1"/>
  <c r="A57" i="2" s="1"/>
  <c r="C57" i="1"/>
  <c r="C57" i="2" s="1"/>
  <c r="B57" i="1"/>
  <c r="B57" i="2" s="1"/>
  <c r="E56" i="1"/>
  <c r="K56" i="2" s="1"/>
  <c r="D56" i="1"/>
  <c r="A56" i="2" s="1"/>
  <c r="C56" i="1"/>
  <c r="C56" i="2" s="1"/>
  <c r="B56" i="1"/>
  <c r="B56" i="2" s="1"/>
  <c r="E55" i="1"/>
  <c r="K55" i="2" s="1"/>
  <c r="D55" i="1"/>
  <c r="A55" i="2" s="1"/>
  <c r="C55" i="1"/>
  <c r="C55" i="2" s="1"/>
  <c r="B55" i="1"/>
  <c r="B55" i="2" s="1"/>
  <c r="E54" i="1"/>
  <c r="K54" i="2" s="1"/>
  <c r="D54" i="1"/>
  <c r="A54" i="2" s="1"/>
  <c r="C54" i="1"/>
  <c r="C54" i="2" s="1"/>
  <c r="B54" i="1"/>
  <c r="B54" i="2" s="1"/>
  <c r="E53" i="1"/>
  <c r="K53" i="2" s="1"/>
  <c r="D53" i="1"/>
  <c r="A53" i="2" s="1"/>
  <c r="C53" i="1"/>
  <c r="C53" i="2" s="1"/>
  <c r="B53" i="1"/>
  <c r="B53" i="2" s="1"/>
  <c r="E52" i="1"/>
  <c r="K52" i="2" s="1"/>
  <c r="D52" i="1"/>
  <c r="A52" i="2" s="1"/>
  <c r="C52" i="1"/>
  <c r="C52" i="2" s="1"/>
  <c r="B52" i="1"/>
  <c r="B52" i="2" s="1"/>
  <c r="E51" i="1"/>
  <c r="K51" i="2" s="1"/>
  <c r="D51" i="1"/>
  <c r="A51" i="2" s="1"/>
  <c r="C51" i="1"/>
  <c r="C51" i="2" s="1"/>
  <c r="B51" i="1"/>
  <c r="B51" i="2" s="1"/>
  <c r="E50" i="1"/>
  <c r="K50" i="2" s="1"/>
  <c r="D50" i="1"/>
  <c r="A50" i="2" s="1"/>
  <c r="C50" i="1"/>
  <c r="C50" i="2" s="1"/>
  <c r="B50" i="1"/>
  <c r="B50" i="2" s="1"/>
  <c r="E49" i="1"/>
  <c r="K49" i="2" s="1"/>
  <c r="D49" i="1"/>
  <c r="A49" i="2" s="1"/>
  <c r="C49" i="1"/>
  <c r="C49" i="2" s="1"/>
  <c r="B49" i="1"/>
  <c r="B49" i="2" s="1"/>
  <c r="E48" i="1"/>
  <c r="K48" i="2" s="1"/>
  <c r="D48" i="1"/>
  <c r="A48" i="2" s="1"/>
  <c r="C48" i="1"/>
  <c r="C48" i="2" s="1"/>
  <c r="B48" i="1"/>
  <c r="B48" i="2" s="1"/>
  <c r="E47" i="1"/>
  <c r="K47" i="2" s="1"/>
  <c r="D47" i="1"/>
  <c r="A47" i="2" s="1"/>
  <c r="C47" i="1"/>
  <c r="C47" i="2" s="1"/>
  <c r="B47" i="1"/>
  <c r="B47" i="2" s="1"/>
  <c r="E46" i="1"/>
  <c r="K46" i="2" s="1"/>
  <c r="D46" i="1"/>
  <c r="A46" i="2" s="1"/>
  <c r="C46" i="1"/>
  <c r="C46" i="2" s="1"/>
  <c r="B46" i="1"/>
  <c r="B46" i="2" s="1"/>
  <c r="E45" i="1"/>
  <c r="K45" i="2" s="1"/>
  <c r="D45" i="1"/>
  <c r="A45" i="2" s="1"/>
  <c r="C45" i="1"/>
  <c r="C45" i="2" s="1"/>
  <c r="B45" i="1"/>
  <c r="B45" i="2" s="1"/>
  <c r="E44" i="1"/>
  <c r="K44" i="2" s="1"/>
  <c r="D44" i="1"/>
  <c r="A44" i="2" s="1"/>
  <c r="C44" i="1"/>
  <c r="C44" i="2" s="1"/>
  <c r="B44" i="1"/>
  <c r="B44" i="2" s="1"/>
  <c r="E43" i="1"/>
  <c r="K43" i="2" s="1"/>
  <c r="D43" i="1"/>
  <c r="A43" i="2" s="1"/>
  <c r="C43" i="1"/>
  <c r="C43" i="2" s="1"/>
  <c r="B43" i="1"/>
  <c r="B43" i="2" s="1"/>
  <c r="E42" i="1"/>
  <c r="K42" i="2" s="1"/>
  <c r="D42" i="1"/>
  <c r="A42" i="2" s="1"/>
  <c r="C42" i="1"/>
  <c r="C42" i="2" s="1"/>
  <c r="B42" i="1"/>
  <c r="B42" i="2" s="1"/>
  <c r="E41" i="1"/>
  <c r="K41" i="2" s="1"/>
  <c r="D41" i="1"/>
  <c r="A41" i="2" s="1"/>
  <c r="C41" i="1"/>
  <c r="C41" i="2" s="1"/>
  <c r="B41" i="1"/>
  <c r="B41" i="2" s="1"/>
  <c r="E40" i="1"/>
  <c r="K40" i="2" s="1"/>
  <c r="D40" i="1"/>
  <c r="A40" i="2" s="1"/>
  <c r="C40" i="1"/>
  <c r="C40" i="2" s="1"/>
  <c r="B40" i="1"/>
  <c r="B40" i="2" s="1"/>
  <c r="E39" i="1"/>
  <c r="K39" i="2" s="1"/>
  <c r="D39" i="1"/>
  <c r="A39" i="2" s="1"/>
  <c r="C39" i="1"/>
  <c r="C39" i="2" s="1"/>
  <c r="B39" i="1"/>
  <c r="B39" i="2" s="1"/>
  <c r="E38" i="1"/>
  <c r="K38" i="2" s="1"/>
  <c r="D38" i="1"/>
  <c r="A38" i="2" s="1"/>
  <c r="C38" i="1"/>
  <c r="C38" i="2" s="1"/>
  <c r="B38" i="1"/>
  <c r="B38" i="2" s="1"/>
  <c r="E37" i="1"/>
  <c r="K37" i="2" s="1"/>
  <c r="D37" i="1"/>
  <c r="A37" i="2" s="1"/>
  <c r="C37" i="1"/>
  <c r="C37" i="2" s="1"/>
  <c r="B37" i="1"/>
  <c r="B37" i="2" s="1"/>
  <c r="E36" i="1"/>
  <c r="K36" i="2" s="1"/>
  <c r="D36" i="1"/>
  <c r="A36" i="2" s="1"/>
  <c r="C36" i="1"/>
  <c r="C36" i="2" s="1"/>
  <c r="B36" i="1"/>
  <c r="B36" i="2" s="1"/>
  <c r="E35" i="1"/>
  <c r="K35" i="2" s="1"/>
  <c r="D35" i="1"/>
  <c r="A35" i="2" s="1"/>
  <c r="C35" i="1"/>
  <c r="C35" i="2" s="1"/>
  <c r="B35" i="1"/>
  <c r="B35" i="2" s="1"/>
  <c r="E34" i="1"/>
  <c r="K34" i="2" s="1"/>
  <c r="D34" i="1"/>
  <c r="A34" i="2" s="1"/>
  <c r="C34" i="1"/>
  <c r="C34" i="2" s="1"/>
  <c r="B34" i="1"/>
  <c r="B34" i="2" s="1"/>
  <c r="E33" i="1"/>
  <c r="K33" i="2" s="1"/>
  <c r="D33" i="1"/>
  <c r="A33" i="2" s="1"/>
  <c r="C33" i="1"/>
  <c r="C33" i="2" s="1"/>
  <c r="B33" i="1"/>
  <c r="B33" i="2" s="1"/>
  <c r="E32" i="1"/>
  <c r="K32" i="2" s="1"/>
  <c r="D32" i="1"/>
  <c r="A32" i="2" s="1"/>
  <c r="C32" i="1"/>
  <c r="C32" i="2" s="1"/>
  <c r="B32" i="1"/>
  <c r="B32" i="2" s="1"/>
  <c r="E31" i="1"/>
  <c r="K31" i="2" s="1"/>
  <c r="D31" i="1"/>
  <c r="A31" i="2" s="1"/>
  <c r="C31" i="1"/>
  <c r="C31" i="2" s="1"/>
  <c r="B31" i="1"/>
  <c r="B31" i="2" s="1"/>
  <c r="E30" i="1"/>
  <c r="K30" i="2" s="1"/>
  <c r="D30" i="1"/>
  <c r="A30" i="2" s="1"/>
  <c r="C30" i="1"/>
  <c r="C30" i="2" s="1"/>
  <c r="B30" i="1"/>
  <c r="B30" i="2" s="1"/>
  <c r="E29" i="1"/>
  <c r="K29" i="2" s="1"/>
  <c r="D29" i="1"/>
  <c r="A29" i="2" s="1"/>
  <c r="C29" i="1"/>
  <c r="C29" i="2" s="1"/>
  <c r="B29" i="1"/>
  <c r="B29" i="2" s="1"/>
  <c r="E28" i="1"/>
  <c r="K28" i="2" s="1"/>
  <c r="D28" i="1"/>
  <c r="A28" i="2" s="1"/>
  <c r="C28" i="1"/>
  <c r="C28" i="2" s="1"/>
  <c r="B28" i="1"/>
  <c r="B28" i="2" s="1"/>
  <c r="E27" i="1"/>
  <c r="K27" i="2" s="1"/>
  <c r="D27" i="1"/>
  <c r="A27" i="2" s="1"/>
  <c r="C27" i="1"/>
  <c r="C27" i="2" s="1"/>
  <c r="B27" i="1"/>
  <c r="B27" i="2" s="1"/>
  <c r="E26" i="1"/>
  <c r="K26" i="2" s="1"/>
  <c r="D26" i="1"/>
  <c r="A26" i="2" s="1"/>
  <c r="C26" i="1"/>
  <c r="C26" i="2" s="1"/>
  <c r="B26" i="1"/>
  <c r="B26" i="2" s="1"/>
  <c r="E25" i="1"/>
  <c r="K25" i="2" s="1"/>
  <c r="D25" i="1"/>
  <c r="A25" i="2" s="1"/>
  <c r="C25" i="1"/>
  <c r="C25" i="2" s="1"/>
  <c r="B25" i="1"/>
  <c r="B25" i="2" s="1"/>
  <c r="A25" i="1"/>
  <c r="E24" i="1"/>
  <c r="K24" i="2" s="1"/>
  <c r="D24" i="1"/>
  <c r="A24" i="2" s="1"/>
  <c r="C24" i="1"/>
  <c r="C24" i="2" s="1"/>
  <c r="B24" i="1"/>
  <c r="B24" i="2" s="1"/>
  <c r="A24" i="1"/>
  <c r="E23" i="1"/>
  <c r="K23" i="2" s="1"/>
  <c r="D23" i="1"/>
  <c r="A23" i="2" s="1"/>
  <c r="C23" i="1"/>
  <c r="C23" i="2" s="1"/>
  <c r="B23" i="1"/>
  <c r="B23" i="2" s="1"/>
  <c r="A23" i="1"/>
  <c r="E22" i="1"/>
  <c r="K22" i="2" s="1"/>
  <c r="D22" i="1"/>
  <c r="A22" i="2" s="1"/>
  <c r="C22" i="1"/>
  <c r="C22" i="2" s="1"/>
  <c r="B22" i="1"/>
  <c r="B22" i="2" s="1"/>
  <c r="A22" i="1"/>
  <c r="E21" i="1"/>
  <c r="K21" i="2" s="1"/>
  <c r="D21" i="1"/>
  <c r="A21" i="2" s="1"/>
  <c r="C21" i="1"/>
  <c r="C21" i="2" s="1"/>
  <c r="B21" i="1"/>
  <c r="B21" i="2" s="1"/>
  <c r="A21" i="1"/>
  <c r="E20" i="1"/>
  <c r="K20" i="2" s="1"/>
  <c r="D20" i="1"/>
  <c r="A20" i="2" s="1"/>
  <c r="C20" i="1"/>
  <c r="C20" i="2" s="1"/>
  <c r="B20" i="1"/>
  <c r="B20" i="2" s="1"/>
  <c r="A20" i="1"/>
  <c r="E19" i="1"/>
  <c r="K19" i="2" s="1"/>
  <c r="D19" i="1"/>
  <c r="A19" i="2" s="1"/>
  <c r="C19" i="1"/>
  <c r="C19" i="2" s="1"/>
  <c r="B19" i="1"/>
  <c r="B19" i="2" s="1"/>
  <c r="A19" i="1"/>
  <c r="E18" i="1"/>
  <c r="K18" i="2" s="1"/>
  <c r="D18" i="1"/>
  <c r="A18" i="2" s="1"/>
  <c r="C18" i="1"/>
  <c r="C18" i="2" s="1"/>
  <c r="B18" i="1"/>
  <c r="B18" i="2" s="1"/>
  <c r="A18" i="1"/>
  <c r="E17" i="1"/>
  <c r="K17" i="2" s="1"/>
  <c r="D17" i="1"/>
  <c r="A17" i="2" s="1"/>
  <c r="C17" i="1"/>
  <c r="C17" i="2" s="1"/>
  <c r="B17" i="1"/>
  <c r="B17" i="2" s="1"/>
  <c r="A17" i="1"/>
  <c r="E16" i="1"/>
  <c r="K16" i="2" s="1"/>
  <c r="D16" i="1"/>
  <c r="A16" i="2" s="1"/>
  <c r="C16" i="1"/>
  <c r="C16" i="2" s="1"/>
  <c r="B16" i="1"/>
  <c r="B16" i="2" s="1"/>
  <c r="A16" i="1"/>
  <c r="E15" i="1"/>
  <c r="K15" i="2" s="1"/>
  <c r="D15" i="1"/>
  <c r="A15" i="2" s="1"/>
  <c r="C15" i="1"/>
  <c r="C15" i="2" s="1"/>
  <c r="B15" i="1"/>
  <c r="B15" i="2" s="1"/>
  <c r="A15" i="1"/>
  <c r="E14" i="1"/>
  <c r="K14" i="2" s="1"/>
  <c r="D14" i="1"/>
  <c r="A14" i="2" s="1"/>
  <c r="C14" i="1"/>
  <c r="C14" i="2" s="1"/>
  <c r="B14" i="1"/>
  <c r="B14" i="2" s="1"/>
  <c r="A14" i="1"/>
  <c r="E13" i="1"/>
  <c r="K13" i="2" s="1"/>
  <c r="D13" i="1"/>
  <c r="A13" i="2" s="1"/>
  <c r="C13" i="1"/>
  <c r="C13" i="2" s="1"/>
  <c r="B13" i="1"/>
  <c r="B13" i="2" s="1"/>
  <c r="A13" i="1"/>
  <c r="E12" i="1"/>
  <c r="K12" i="2" s="1"/>
  <c r="D12" i="1"/>
  <c r="A12" i="2" s="1"/>
  <c r="C12" i="1"/>
  <c r="C12" i="2" s="1"/>
  <c r="B12" i="1"/>
  <c r="B12" i="2" s="1"/>
  <c r="A12" i="1"/>
  <c r="E11" i="1"/>
  <c r="K11" i="2" s="1"/>
  <c r="D11" i="1"/>
  <c r="A11" i="2" s="1"/>
  <c r="C11" i="1"/>
  <c r="C11" i="2" s="1"/>
  <c r="B11" i="1"/>
  <c r="B11" i="2" s="1"/>
  <c r="A11" i="1"/>
  <c r="E10" i="1"/>
  <c r="K10" i="2" s="1"/>
  <c r="D10" i="1"/>
  <c r="A10" i="2" s="1"/>
  <c r="C10" i="1"/>
  <c r="C10" i="2" s="1"/>
  <c r="B10" i="1"/>
  <c r="B10" i="2" s="1"/>
  <c r="A10" i="1"/>
  <c r="E9" i="1"/>
  <c r="K9" i="2" s="1"/>
  <c r="D9" i="1"/>
  <c r="A9" i="2" s="1"/>
  <c r="C9" i="1"/>
  <c r="C9" i="2" s="1"/>
  <c r="B9" i="1"/>
  <c r="B9" i="2" s="1"/>
  <c r="A9" i="1"/>
  <c r="E8" i="1"/>
  <c r="K8" i="2" s="1"/>
  <c r="D8" i="1"/>
  <c r="A8" i="2" s="1"/>
  <c r="C8" i="1"/>
  <c r="C8" i="2" s="1"/>
  <c r="B8" i="1"/>
  <c r="B8" i="2" s="1"/>
  <c r="A8" i="1"/>
  <c r="E7" i="1"/>
  <c r="K7" i="2" s="1"/>
  <c r="D7" i="1"/>
  <c r="A7" i="2" s="1"/>
  <c r="C7" i="1"/>
  <c r="C7" i="2" s="1"/>
  <c r="B7" i="1"/>
  <c r="B7" i="2" s="1"/>
  <c r="A7" i="1"/>
  <c r="E6" i="1"/>
  <c r="K6" i="2" s="1"/>
  <c r="D6" i="1"/>
  <c r="A6" i="2" s="1"/>
  <c r="C6" i="1"/>
  <c r="C6" i="2" s="1"/>
  <c r="B6" i="1"/>
  <c r="B6" i="2" s="1"/>
  <c r="A6" i="1"/>
  <c r="E5" i="1"/>
  <c r="K5" i="2" s="1"/>
  <c r="D5" i="1"/>
  <c r="A5" i="2" s="1"/>
  <c r="C5" i="1"/>
  <c r="C5" i="2" s="1"/>
  <c r="B5" i="1"/>
  <c r="B5" i="2" s="1"/>
  <c r="A5" i="1"/>
  <c r="E4" i="1"/>
  <c r="K4" i="2" s="1"/>
  <c r="D4" i="1"/>
  <c r="A4" i="2" s="1"/>
  <c r="C4" i="1"/>
  <c r="C4" i="2" s="1"/>
  <c r="B4" i="1"/>
  <c r="B4" i="2" s="1"/>
  <c r="A4" i="1"/>
  <c r="E3" i="1"/>
  <c r="K3" i="2" s="1"/>
  <c r="D3" i="1"/>
  <c r="A3" i="2" s="1"/>
  <c r="L4" i="2" s="1"/>
  <c r="C3" i="1"/>
  <c r="C3" i="2" s="1"/>
  <c r="B3" i="1"/>
  <c r="B3" i="2" s="1"/>
  <c r="A3" i="1"/>
  <c r="E2" i="1"/>
  <c r="K2" i="2" s="1"/>
  <c r="D2" i="1"/>
  <c r="A2" i="2" s="1"/>
  <c r="C2" i="1"/>
  <c r="C2" i="2" s="1"/>
  <c r="B2" i="1"/>
  <c r="B2" i="2" s="1"/>
  <c r="A2" i="1"/>
</calcChain>
</file>

<file path=xl/sharedStrings.xml><?xml version="1.0" encoding="utf-8"?>
<sst xmlns="http://schemas.openxmlformats.org/spreadsheetml/2006/main" count="1884" uniqueCount="313">
  <si>
    <t>Μολυσματικός</t>
  </si>
  <si>
    <t>Θάλαμος</t>
  </si>
  <si>
    <t>Ασθενής</t>
  </si>
  <si>
    <t>ΦΘ</t>
  </si>
  <si>
    <t>Ρομποτικό</t>
  </si>
  <si>
    <t>Πισίνα</t>
  </si>
  <si>
    <t>Ανακλινόμενο</t>
  </si>
  <si>
    <t>Εργο</t>
  </si>
  <si>
    <t>Λογο</t>
  </si>
  <si>
    <t>ΕΦΑ</t>
  </si>
  <si>
    <t>Κατάσταση</t>
  </si>
  <si>
    <t>PatientID</t>
  </si>
  <si>
    <t>ΦΘ_Ώρα</t>
  </si>
  <si>
    <t>ΦΘ_Ημέρες</t>
  </si>
  <si>
    <t>ΦΘ_Θεραπευτής</t>
  </si>
  <si>
    <t>Ρομποτικό_Ώρα</t>
  </si>
  <si>
    <t>Ρομποτικό_Ημέρες</t>
  </si>
  <si>
    <t>Ρομποτικό_Θεραπευτής</t>
  </si>
  <si>
    <t>Ανακλινόμενο_Ώρα</t>
  </si>
  <si>
    <t>Ανακλινόμενο_Ημέρες</t>
  </si>
  <si>
    <t>Πισίνα_Ώρα</t>
  </si>
  <si>
    <t>Πισίνα_Ημέρες</t>
  </si>
  <si>
    <t>Εργο_Ώρα</t>
  </si>
  <si>
    <t>Εργο_Ημέρες</t>
  </si>
  <si>
    <t>Λογο_Ώρα</t>
  </si>
  <si>
    <t>Λογο_Ημέρες</t>
  </si>
  <si>
    <t>ΕΦΑ_Ώρα</t>
  </si>
  <si>
    <t>ΕΦΑ_Ημέρες</t>
  </si>
  <si>
    <t>Σχόλια 1</t>
  </si>
  <si>
    <t>Σχόλια 2</t>
  </si>
  <si>
    <t>8:30</t>
  </si>
  <si>
    <t>Τρ-Πε</t>
  </si>
  <si>
    <t>Μηλιδάκης</t>
  </si>
  <si>
    <t>Δε-Τε-Πα</t>
  </si>
  <si>
    <t>9:30</t>
  </si>
  <si>
    <t>Δε-Τε-Πε</t>
  </si>
  <si>
    <t>11:30</t>
  </si>
  <si>
    <t>10:45</t>
  </si>
  <si>
    <t>Δε-Τε</t>
  </si>
  <si>
    <t>12:15</t>
  </si>
  <si>
    <t>Αργέντος</t>
  </si>
  <si>
    <t>Παπαμάνου</t>
  </si>
  <si>
    <t>10:00</t>
  </si>
  <si>
    <t>Βασιλειάδης</t>
  </si>
  <si>
    <t>9:15</t>
  </si>
  <si>
    <t>Σκαρώνης</t>
  </si>
  <si>
    <t>Γαβράς</t>
  </si>
  <si>
    <t>Χρήστου</t>
  </si>
  <si>
    <t>Τε-Πα</t>
  </si>
  <si>
    <t>Σάκκου</t>
  </si>
  <si>
    <t>Τρ-Πε-Πα</t>
  </si>
  <si>
    <t>φοιτ 1</t>
  </si>
  <si>
    <t>Καλυβιώτης</t>
  </si>
  <si>
    <t>Παπακίτσου</t>
  </si>
  <si>
    <t>Γουνελάς</t>
  </si>
  <si>
    <t>Κοσμίδης</t>
  </si>
  <si>
    <t>Ψιάχου</t>
  </si>
  <si>
    <t>Σάρρας</t>
  </si>
  <si>
    <t>Φιλιππούσης</t>
  </si>
  <si>
    <t>Δ-Τρ-Πε</t>
  </si>
  <si>
    <t>11:00</t>
  </si>
  <si>
    <t>Δε-Πε</t>
  </si>
  <si>
    <t>Πέτσιος</t>
  </si>
  <si>
    <t>Πε</t>
  </si>
  <si>
    <t>Δε-Πα</t>
  </si>
  <si>
    <t>10:30</t>
  </si>
  <si>
    <t>Τρ-Τε-Πε</t>
  </si>
  <si>
    <t>Δε-Τε-Πε-Πα</t>
  </si>
  <si>
    <t>Τρ-Τε-Πε-Πα</t>
  </si>
  <si>
    <t>Δευτέρα</t>
  </si>
  <si>
    <t>Τετάρτη</t>
  </si>
  <si>
    <t>Δ-Τρ-Πε-Π</t>
  </si>
  <si>
    <t>Τρ-Τε-Πα</t>
  </si>
  <si>
    <t>12:00</t>
  </si>
  <si>
    <t>13:00</t>
  </si>
  <si>
    <t>Δε-Τρ-Πε</t>
  </si>
  <si>
    <t>Ημερομηνία</t>
  </si>
  <si>
    <t>Θεραπεία</t>
  </si>
  <si>
    <t>Σχόλια</t>
  </si>
  <si>
    <t>Ήταν προγραμματισμένη</t>
  </si>
  <si>
    <t>Έγινε</t>
  </si>
  <si>
    <t>ΣΤΑΤΙΣΤΙΚΑ</t>
  </si>
  <si>
    <t>Σύνολο ασθενών</t>
  </si>
  <si>
    <t>Καταστάσεις ασθενών</t>
  </si>
  <si>
    <t>Μολυσματικοί</t>
  </si>
  <si>
    <t>παρών</t>
  </si>
  <si>
    <t>Ασθενείς με ΦΘ</t>
  </si>
  <si>
    <t>διακομισμένος</t>
  </si>
  <si>
    <t>Ασθενείς με Ρομποτικό</t>
  </si>
  <si>
    <t>προσωρινό εξιτήριο</t>
  </si>
  <si>
    <t>Παρόντες θεραπευτές</t>
  </si>
  <si>
    <t>εξιτήριο</t>
  </si>
  <si>
    <t>Απόντες θεραπευτές</t>
  </si>
  <si>
    <t>αναβολή ΦΘ</t>
  </si>
  <si>
    <t>αναβολή Ρομποτικού</t>
  </si>
  <si>
    <t>αναβολή και τα δύο</t>
  </si>
  <si>
    <t>ιατρική ακύρωση</t>
  </si>
  <si>
    <t>Συνεδρίες ανά ώρα</t>
  </si>
  <si>
    <t>Συνεδρίες ανά ημέρα</t>
  </si>
  <si>
    <t>Δε</t>
  </si>
  <si>
    <t>Τρ</t>
  </si>
  <si>
    <t>Τε</t>
  </si>
  <si>
    <t>Πα</t>
  </si>
  <si>
    <t>Φόρτος θεραπευτών (από Παρουσιολόγιο)</t>
  </si>
  <si>
    <t>A01</t>
  </si>
  <si>
    <t>ΜΟΤΣΙΟΣ</t>
  </si>
  <si>
    <t>Ο</t>
  </si>
  <si>
    <t>A02</t>
  </si>
  <si>
    <t>ΒΑΡΒΑΡΑΣ</t>
  </si>
  <si>
    <t>Ν</t>
  </si>
  <si>
    <t>ΖΑΛΟΚΩΣΤΑΣ</t>
  </si>
  <si>
    <t>ΠΑΠΑΔΟΠΟΥΛΟΥ</t>
  </si>
  <si>
    <t>ΦΡΑΓΚΗΣ ΙΩΑ</t>
  </si>
  <si>
    <t>A03</t>
  </si>
  <si>
    <t>DUPE</t>
  </si>
  <si>
    <t>ΓΡΑΙΚΟΣ</t>
  </si>
  <si>
    <t>ΜΕΝΤΗΣ</t>
  </si>
  <si>
    <t>ΠΕΤΙΡΟΠΟΥΛΟΣ</t>
  </si>
  <si>
    <t>A04</t>
  </si>
  <si>
    <t>ΒΑΛΛΙΑΝΑΤΟΥ</t>
  </si>
  <si>
    <t>ΓΩΓΟΥΛΑ</t>
  </si>
  <si>
    <t>A05</t>
  </si>
  <si>
    <t>ΓΙΑΝΝΙΑ</t>
  </si>
  <si>
    <t>ΠΟΠΟΥΛΙΔΟΥ</t>
  </si>
  <si>
    <t>ΣΑΒΒΑΚΗ</t>
  </si>
  <si>
    <t>A07</t>
  </si>
  <si>
    <t>ΖΕΑΚΗ</t>
  </si>
  <si>
    <t>ΚΑΜΙΝΑΡΗ ΚΩΝ</t>
  </si>
  <si>
    <t>ΚΟΥΡΟΥΠΗ</t>
  </si>
  <si>
    <t>ΚΟΥΤΣΑΒΛΗ</t>
  </si>
  <si>
    <t>ΜΠΟΛΛΗ</t>
  </si>
  <si>
    <t>A08</t>
  </si>
  <si>
    <t>ΛΙΑΚΟΣ.</t>
  </si>
  <si>
    <t>ΡΟΥΣΣΗΣ ΓΕΩ</t>
  </si>
  <si>
    <t>ΣΑΚΕΡΛΗΣ</t>
  </si>
  <si>
    <t>ΣΙΩΤΟΣ</t>
  </si>
  <si>
    <t>ΦΙΛΙΠΠΗΣ</t>
  </si>
  <si>
    <t>A09</t>
  </si>
  <si>
    <t>ΚΟΥΓΙΟΣ</t>
  </si>
  <si>
    <t>ΧΑΣΙΚΟΣ</t>
  </si>
  <si>
    <t>ΧΑΤΖΗΧΡΗΣΤΟΣ</t>
  </si>
  <si>
    <t>A10</t>
  </si>
  <si>
    <t>ΖΑΧΑΡΙΑΔΟΥ</t>
  </si>
  <si>
    <t>ΣΥΜΕΩΝΙΔΗ</t>
  </si>
  <si>
    <t>ΧΡΙΣΤΟΔΟΥΛΟΥ ΟΛ</t>
  </si>
  <si>
    <t>A11</t>
  </si>
  <si>
    <t>ΓΚΟΥΖΟΣ</t>
  </si>
  <si>
    <t>ΟΛΥΜΠΙΟΣ</t>
  </si>
  <si>
    <t>A12</t>
  </si>
  <si>
    <t>ΛΑΝΑΡΑΣ</t>
  </si>
  <si>
    <t>A13</t>
  </si>
  <si>
    <t>ΣΤΡΑΤΑΚΗΣ</t>
  </si>
  <si>
    <t>A14</t>
  </si>
  <si>
    <t>ΚΑΡΑΠΟΥΛΙΟΣ</t>
  </si>
  <si>
    <t>ΜΩΡΑΙΤΗΣ</t>
  </si>
  <si>
    <t>ΧΑΙΡΕΤΗΣ</t>
  </si>
  <si>
    <t>A15</t>
  </si>
  <si>
    <t>ΓΕΡΜΑΝΗΣ</t>
  </si>
  <si>
    <t>B01</t>
  </si>
  <si>
    <t>ΑΥΓΕΡΙΝΟΣ</t>
  </si>
  <si>
    <t>ΒΑΣΙΛΕΙΑΔΗΣ</t>
  </si>
  <si>
    <t>B02</t>
  </si>
  <si>
    <t>ΑΠΟΣΤΟΛΟΠΟΥΛΟΥ ΑΘΗ</t>
  </si>
  <si>
    <t>ΒΑΛΛΙΑΝΟΥ</t>
  </si>
  <si>
    <t>ΚΟΥΡΤΣΟΠΟΥΛΟΥ</t>
  </si>
  <si>
    <t>ΜΑΡΩΤΗ Ε</t>
  </si>
  <si>
    <t>B03</t>
  </si>
  <si>
    <t>ΖΕΚΗ</t>
  </si>
  <si>
    <t>ΠΑΠΑΝΑΓΙΩΤΟΥ</t>
  </si>
  <si>
    <t>ΣΩΤΗΡΙΟΥ ΣΩΤ</t>
  </si>
  <si>
    <t>B04</t>
  </si>
  <si>
    <t>KOCANINI</t>
  </si>
  <si>
    <t>ΜΑΚΡΙΔΑΚΗΣ</t>
  </si>
  <si>
    <t>ΟΔΥΣΣΕΩΣ</t>
  </si>
  <si>
    <t>ΣΤΑΣΙΝΟΣ</t>
  </si>
  <si>
    <t>B05</t>
  </si>
  <si>
    <t>ΑΓΓΕΛΟΠΟΥΛΟΣ</t>
  </si>
  <si>
    <t>ΔΙΑΤΣΙΝΤΟΣ</t>
  </si>
  <si>
    <t>ΜΑΤΘΙΟΥΛΑΚΗΣ</t>
  </si>
  <si>
    <t>ΜΥΛΩΝΙΔΗΣ</t>
  </si>
  <si>
    <t>ΤΣΙΚΟΒΑΣ</t>
  </si>
  <si>
    <t>B06</t>
  </si>
  <si>
    <t>ΗΛΙΑ ΜΑΡΙΑ</t>
  </si>
  <si>
    <t>ΜΑΡΙΝΟΠΟΥΛΟΥ</t>
  </si>
  <si>
    <t>ΜΑΧΑΙΡΑ</t>
  </si>
  <si>
    <t>ΠΑΠΠΟΥ</t>
  </si>
  <si>
    <t>B07</t>
  </si>
  <si>
    <t>ΑΛΕΞΑΚΗΣ</t>
  </si>
  <si>
    <t>ΒΟΓΙΑΤΖΗΣ</t>
  </si>
  <si>
    <t>ΓΙΑΝΝΟΠΟΥΛΟΣ</t>
  </si>
  <si>
    <t>ΔΕΣΤΟΥΝΗΣ</t>
  </si>
  <si>
    <t>ΣΩΚΟΣ</t>
  </si>
  <si>
    <t>B08</t>
  </si>
  <si>
    <t>CANGOLLARI</t>
  </si>
  <si>
    <t>ΖΕΡΒΑ</t>
  </si>
  <si>
    <t>ΚΑΤΣΙΓΙΑΝΝΗ</t>
  </si>
  <si>
    <t xml:space="preserve">ΤΖΟΡΙΛΗ </t>
  </si>
  <si>
    <t>B09</t>
  </si>
  <si>
    <t>ΔΙΠΛΑ</t>
  </si>
  <si>
    <t>ΚΑΤΣΑΝΤΩΝΗΣ</t>
  </si>
  <si>
    <t>B10</t>
  </si>
  <si>
    <t>BAKHIT LATIF</t>
  </si>
  <si>
    <t>ΒΡΑΧΝΟΣ</t>
  </si>
  <si>
    <t>ΚΑΠΡΕΤΣΟΣ</t>
  </si>
  <si>
    <t>ΚΩΝΣΤΑΝΤΙΟΣ</t>
  </si>
  <si>
    <t>B13</t>
  </si>
  <si>
    <t>ΔΕΡΜΙΤΖΑΚΗΣ</t>
  </si>
  <si>
    <t>ΠΑΖΙΟΣ ΑΝΔ</t>
  </si>
  <si>
    <t>B14</t>
  </si>
  <si>
    <t>ΗΛΙΑ ΧΡΥΣΟΥΛΑ</t>
  </si>
  <si>
    <t>ΜΑΛΑΠΑΝΗ</t>
  </si>
  <si>
    <t>ΜΠΑΡΜΠΑΚΗ</t>
  </si>
  <si>
    <t>ΤΣΙΑΜΑΣΦΙΡΟΥ</t>
  </si>
  <si>
    <t>B15</t>
  </si>
  <si>
    <t>MOXAMENT ANT.</t>
  </si>
  <si>
    <t>ΚΕΣΕΚΙΔΟΥ</t>
  </si>
  <si>
    <t>ΤΣΙΟΥΜΠΟΥ</t>
  </si>
  <si>
    <t>nan</t>
  </si>
  <si>
    <t>Θάλαμος (πχ A01 / B15)</t>
  </si>
  <si>
    <t>Συμπλήρωσε τα πεδία και μετά αντέγραψε τη γραμμή στο PATIENTS.</t>
  </si>
  <si>
    <t>THERAPISTS_FTH</t>
  </si>
  <si>
    <t>HOURS_STANDARD</t>
  </si>
  <si>
    <t>HOURS_RECLINED</t>
  </si>
  <si>
    <t>DAY_COMBINATIONS</t>
  </si>
  <si>
    <t>THERAPIES</t>
  </si>
  <si>
    <t>PATIENT_STATUS</t>
  </si>
  <si>
    <t>YES_NO</t>
  </si>
  <si>
    <t>ROOMS</t>
  </si>
  <si>
    <t>8:00</t>
  </si>
  <si>
    <t>Καθ/να</t>
  </si>
  <si>
    <t>9:00</t>
  </si>
  <si>
    <t>Δε-Τρ</t>
  </si>
  <si>
    <t>12:30</t>
  </si>
  <si>
    <t>Τρ-Τε</t>
  </si>
  <si>
    <t>Τρ-Πα</t>
  </si>
  <si>
    <t>Τε-Πε</t>
  </si>
  <si>
    <t>Πε-Πα</t>
  </si>
  <si>
    <t>Δε-Τρ-Τε</t>
  </si>
  <si>
    <t>Δε-Τρ-Πα</t>
  </si>
  <si>
    <t>Δε-Πε-Πα</t>
  </si>
  <si>
    <t>Τε-Πε-Πα</t>
  </si>
  <si>
    <t>Δε-Τρ-Τε-Πε</t>
  </si>
  <si>
    <t>Δε-Τρ-Τε-Πα</t>
  </si>
  <si>
    <t>Δε-Τρ-Πε-Πα</t>
  </si>
  <si>
    <t>Ώρα</t>
  </si>
  <si>
    <t>Ημέρες</t>
  </si>
  <si>
    <t>Θεραπευτής</t>
  </si>
  <si>
    <t>StartDate</t>
  </si>
  <si>
    <t>EndDate</t>
  </si>
  <si>
    <t>ΦΡΑΓΚΗΣ ΙΩΑΝΝΗΣ</t>
  </si>
  <si>
    <t>ΡΟΥΣΣΗΣ ΓΕΩΡΓΙΟΣ</t>
  </si>
  <si>
    <t>ΧΡΙΣΤΟΔΟΥΛΟΥ ΟΛΓΑ</t>
  </si>
  <si>
    <t>ΑΠΟΣΤΟΛΟΠΟΥΛΟΥ ΑΘΗΝΑ</t>
  </si>
  <si>
    <t>ΜΑΡΩΤΗ ΕΛΙΣΑΒΕΤ</t>
  </si>
  <si>
    <t>11:30:00</t>
  </si>
  <si>
    <t>ΤΖΟΡΙΛΗ ΠΑΡΑΣΚΕΥΗ</t>
  </si>
  <si>
    <t>ΠΑΖΙΟΣ ΑΝΔΡΕΑΣ</t>
  </si>
  <si>
    <t>ΜΑΡΩΤΗ</t>
  </si>
  <si>
    <t>ΠΑΠΑΝΑΓΙΩΤΟΥ [Δε-Τε-Πα]
ΤΖΟΡΙΛΗ [Τρ-Πε]</t>
  </si>
  <si>
    <t>ΣΩΤΗΡΙΟΥ</t>
  </si>
  <si>
    <t>ΒΡΑΧΝΟΣ [Τρ-Πε]
ΜΑΛΑΠΑΝΗ [Δε-Τε-Πα]</t>
  </si>
  <si>
    <t>ΗΛΙΑ</t>
  </si>
  <si>
    <t>Ορφανοι</t>
  </si>
  <si>
    <t>Παρουσία (Ν/Ο)</t>
  </si>
  <si>
    <t>Slots φορτίου</t>
  </si>
  <si>
    <t>Καταχωρήσεις</t>
  </si>
  <si>
    <t>Σύγκρουση</t>
  </si>
  <si>
    <t>ΝΑΙ</t>
  </si>
  <si>
    <t>Συγκρούσεις / Υπερβάσεις</t>
  </si>
  <si>
    <t>ΠΕΤΙΡΟΠΟΥΛΟΣ [Δε-Τε-Πα]
ΧΡΙΣΤΟΔΟΥΛΟΥ [Τρ-Πε]</t>
  </si>
  <si>
    <t>Timestamp</t>
  </si>
  <si>
    <t>Αρχικός Θεραπευτής</t>
  </si>
  <si>
    <t>Αρχική Ώρα</t>
  </si>
  <si>
    <t>Νεος Θεραπευτής</t>
  </si>
  <si>
    <t>Νέα Ώρα</t>
  </si>
  <si>
    <t>Status</t>
  </si>
  <si>
    <t>Note</t>
  </si>
  <si>
    <t>ΑΛΕΞΑΚΗΣ [Δε-Τε-Πα]</t>
  </si>
  <si>
    <t>RESTORED</t>
  </si>
  <si>
    <t>ΜΟΤΣΙΟΣ [Τρ-Πε]
ΜΟΤΣΙΟΣ [Δε-Τε-Πα]</t>
  </si>
  <si>
    <t>ΠΑΖΙΟΣ</t>
  </si>
  <si>
    <t>ΚΑΜΙΝΑΡΗ</t>
  </si>
  <si>
    <t>ΦΡΑΓΚΗΣ</t>
  </si>
  <si>
    <t>ΓΙΑΝΝΙΑ [Τρ-Πε-Πα]</t>
  </si>
  <si>
    <t>ΛΙΑΚΟΣ. [Τρ-Πε]
CANGOLLARI [Δε-Τε-Πα]</t>
  </si>
  <si>
    <t>ΡΟΥΣΣΗΣ [Τρ-Πε]
ΚΑΡΑΠΟΥΛΙΟΣ [Δε-Τε-Πα]</t>
  </si>
  <si>
    <t>ΦΙΛΙΠΠΗΣ [Τρ-Πε]
ΚΟΥΡΤΣΟΠΟΥΛΟΥ [Δε-Τε-Πα]</t>
  </si>
  <si>
    <t>ΣΥΜΕΩΝΙΔΗ [Δε-Τε-Πα]</t>
  </si>
  <si>
    <t>ΑΠΟΣΤΟΛΟΠΟΥΛΟΥ [Τρ-Πε]</t>
  </si>
  <si>
    <t>ΜΑΚΡΙΔΑΚΗΣ [Τρ-Πε]</t>
  </si>
  <si>
    <t>ΜΑΡΙΝΟΠΟΥΛΟΥ [Τρ-Πε]</t>
  </si>
  <si>
    <t>ΓΙΑΝΝΟΠΟΥΛΟΣ [Δε-Τε-Πα]</t>
  </si>
  <si>
    <t>ΖΕΡΒΑ [Τρ-Πε]</t>
  </si>
  <si>
    <t>BAKHIT</t>
  </si>
  <si>
    <t>Δεν υπάρχουν απόντες θεραπευτές.</t>
  </si>
  <si>
    <t>ΓΚΑΛΜΑΝΗ</t>
  </si>
  <si>
    <t>ΧΡΗΣΤΑΚΟΥ</t>
  </si>
  <si>
    <t>ΓΕΩΡΓΙΟΥ Μ</t>
  </si>
  <si>
    <t>ΣΠΥΡΟΠΟΥΛΟΣ</t>
  </si>
  <si>
    <t>ΚΑΦΕΤΖΗΣ</t>
  </si>
  <si>
    <t>ΠΑΠΑΓΕΩΡΓΙΟΥ</t>
  </si>
  <si>
    <t>ΚΑΠΑΘΑΝΑΣΗ</t>
  </si>
  <si>
    <t>ΧΑΤΖΗΑΝΑΣΤΑΣΙΟΥ</t>
  </si>
  <si>
    <t>ΟΡΦΑΝΑΚΟΣ</t>
  </si>
  <si>
    <t>ΑΛΜΑΣΙΔΗΣ</t>
  </si>
  <si>
    <t>ΡΑΠΤΟΠΟΥΛΟΣ</t>
  </si>
  <si>
    <t>ΓΕΩΡΓΙΑΔΗΣ ΓΕΩ</t>
  </si>
  <si>
    <t>ΓΕΩΡΓΙΟΥ</t>
  </si>
  <si>
    <t>ΓΕΩΡΓΙΑΔΗΣ</t>
  </si>
  <si>
    <t>DAYA HEIDE</t>
  </si>
  <si>
    <t>DAYA</t>
  </si>
  <si>
    <t>ΣΑΒΒΑΚΗ
ΟΛΥΜΠΙΟΣ</t>
  </si>
  <si>
    <t>Σάρρας | 10:45 | overlap ημερών με ΟΛΥΜΠΙΟΣ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</si>
</sst>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1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charset val="161"/>
    </font>
    <font>
      <b/>
      <sz val="11"/>
      <name val="Calibri"/>
      <family val="2"/>
      <charset val="161"/>
    </font>
    <font>
      <i/>
      <sz val="11"/>
      <color rgb="FF666666"/>
      <name val="Calibri"/>
      <family val="2"/>
      <charset val="161"/>
    </font>
    <font>
      <b/>
      <sz val="14"/>
      <color rgb="FFFFFFFF"/>
      <name val="Calibri"/>
      <family val="2"/>
      <charset val="161"/>
    </font>
    <font>
      <sz val="10"/>
      <name val="Calibri"/>
    </font>
    <font>
      <b/>
      <sz val="11"/>
      <name val="Calibri"/>
    </font>
    <font>
      <b/>
      <sz val="11"/>
      <name val="Calibri"/>
    </font>
    <font>
      <b/>
      <sz val="11"/>
      <color theme="1"/>
      <name val="Calibri"/>
      <family val="2"/>
      <charset val="161"/>
      <scheme val="minor"/>
    </font>
    <font>
      <sz val="10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b/>
      <sz val="11"/>
      <color rgb="FFFF8C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  <scheme val="minor"/>
    </font>
    <font>
      <sz val="9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  <font>
      <sz val="10"/>
      <name val="Calibri"/>
      <family val="2"/>
      <charset val="161"/>
    </font>
    <font>
      <sz val="8"/>
      <name val="Calibri"/>
      <family val="2"/>
      <scheme val="minor"/>
    </font>
    <font>
      <sz val="10"/>
      <color rgb="FF000000"/>
      <name val="Calibri"/>
      <family val="2"/>
      <charset val="161"/>
    </font>
  </fonts>
  <fills count="2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5B9BD5"/>
      </patternFill>
    </fill>
    <fill>
      <patternFill patternType="solid">
        <fgColor rgb="FFED7D31"/>
      </patternFill>
    </fill>
    <fill>
      <patternFill patternType="solid">
        <fgColor rgb="FF70AD47"/>
      </patternFill>
    </fill>
    <fill>
      <patternFill patternType="solid">
        <fgColor rgb="FFE26B9A"/>
      </patternFill>
    </fill>
    <fill>
      <patternFill patternType="solid">
        <fgColor rgb="FFF4B183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D9EAD3"/>
      </patternFill>
    </fill>
    <fill>
      <patternFill patternType="solid">
        <fgColor rgb="FFF4D6E7"/>
      </patternFill>
    </fill>
    <fill>
      <patternFill patternType="solid">
        <fgColor rgb="FFFFB343"/>
      </patternFill>
    </fill>
    <fill>
      <patternFill patternType="solid">
        <fgColor rgb="FFFFFF43"/>
      </patternFill>
    </fill>
    <fill>
      <patternFill patternType="solid">
        <fgColor rgb="FFFFFF43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" fillId="3" borderId="1" xfId="0" applyFont="1" applyFill="1" applyBorder="1"/>
    <xf numFmtId="0" fontId="2" fillId="3" borderId="0" xfId="0" applyFont="1" applyFill="1"/>
    <xf numFmtId="0" fontId="0" fillId="14" borderId="1" xfId="0" applyFill="1" applyBorder="1" applyAlignment="1">
      <alignment horizontal="left" vertical="center" wrapText="1"/>
    </xf>
    <xf numFmtId="0" fontId="0" fillId="14" borderId="1" xfId="0" applyFill="1" applyBorder="1"/>
    <xf numFmtId="0" fontId="5" fillId="0" borderId="1" xfId="0" applyFont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16" borderId="3" xfId="0" applyFont="1" applyFill="1" applyBorder="1" applyAlignment="1">
      <alignment horizontal="center" vertical="center"/>
    </xf>
    <xf numFmtId="0" fontId="12" fillId="17" borderId="3" xfId="0" applyFont="1" applyFill="1" applyBorder="1" applyAlignment="1">
      <alignment horizontal="center" vertical="center"/>
    </xf>
    <xf numFmtId="0" fontId="8" fillId="18" borderId="3" xfId="0" applyFont="1" applyFill="1" applyBorder="1" applyAlignment="1">
      <alignment horizontal="center" vertical="center"/>
    </xf>
    <xf numFmtId="20" fontId="12" fillId="16" borderId="3" xfId="0" applyNumberFormat="1" applyFont="1" applyFill="1" applyBorder="1" applyAlignment="1">
      <alignment horizontal="center" vertical="center"/>
    </xf>
    <xf numFmtId="0" fontId="10" fillId="19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13" fillId="19" borderId="3" xfId="0" applyFont="1" applyFill="1" applyBorder="1" applyAlignment="1">
      <alignment horizontal="center" vertical="center" wrapText="1"/>
    </xf>
    <xf numFmtId="0" fontId="10" fillId="15" borderId="3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 wrapText="1"/>
    </xf>
    <xf numFmtId="20" fontId="0" fillId="9" borderId="1" xfId="0" applyNumberFormat="1" applyFill="1" applyBorder="1" applyAlignment="1">
      <alignment horizontal="center" vertical="center" wrapText="1"/>
    </xf>
    <xf numFmtId="20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 wrapText="1"/>
    </xf>
    <xf numFmtId="20" fontId="0" fillId="0" borderId="0" xfId="0" applyNumberFormat="1"/>
    <xf numFmtId="164" fontId="0" fillId="0" borderId="0" xfId="0" applyNumberFormat="1"/>
    <xf numFmtId="0" fontId="11" fillId="19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0" fillId="0" borderId="0" xfId="0" applyFont="1"/>
    <xf numFmtId="0" fontId="4" fillId="2" borderId="0" xfId="0" applyFont="1" applyFill="1"/>
    <xf numFmtId="0" fontId="0" fillId="0" borderId="0" xfId="0"/>
    <xf numFmtId="0" fontId="3" fillId="0" borderId="0" xfId="0" applyFont="1"/>
    <xf numFmtId="0" fontId="10" fillId="0" borderId="3" xfId="0" applyFont="1" applyFill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0" fillId="0" borderId="0" xfId="0" applyFill="1"/>
    <xf numFmtId="0" fontId="0" fillId="3" borderId="4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21" borderId="2" xfId="0" applyFill="1" applyBorder="1"/>
    <xf numFmtId="0" fontId="0" fillId="22" borderId="2" xfId="0" applyFill="1" applyBorder="1"/>
    <xf numFmtId="0" fontId="0" fillId="23" borderId="2" xfId="0" applyFill="1" applyBorder="1"/>
    <xf numFmtId="0" fontId="0" fillId="24" borderId="2" xfId="0" applyFill="1" applyBorder="1"/>
  </cellXfs>
  <cellStyles count="1">
    <cellStyle name="Κανονικό" xfId="0" builtinId="0"/>
  </cellStyles>
  <dxfs count="7">
    <dxf>
      <fill>
        <patternFill patternType="solid">
          <fgColor rgb="FFFFFF43"/>
        </patternFill>
      </fill>
    </dxf>
    <dxf>
      <fill>
        <patternFill>
          <bgColor rgb="FFFFFF00"/>
        </patternFill>
      </fill>
    </dxf>
    <dxf>
      <font>
        <strike/>
        <sz val="10"/>
        <color rgb="FFFF0000"/>
        <name val="Calibri"/>
      </font>
    </dxf>
    <dxf>
      <fill>
        <patternFill patternType="solid">
          <fgColor rgb="FFFFB343"/>
        </patternFill>
      </fill>
    </dxf>
    <dxf>
      <font>
        <strike/>
        <sz val="10"/>
        <color rgb="FFFF0000"/>
        <name val="Calibri"/>
      </font>
    </dxf>
    <dxf>
      <font>
        <strike/>
        <sz val="10"/>
        <color rgb="FFFF0000"/>
        <name val="Calibri"/>
      </font>
    </dxf>
    <dxf>
      <fill>
        <patternFill patternType="solid">
          <fgColor rgb="FFFFFF43"/>
        </patternFill>
      </fill>
    </dxf>
  </dxfs>
  <tableStyles count="0" defaultTableStyle="TableStyleMedium9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l-GR"/>
              <a:t>Συνεδρίες ανά ώρα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cat>
            <c:strRef>
              <c:f>STATISTICS!$A$13:$A$19</c:f>
              <c:strCache>
                <c:ptCount val="7"/>
                <c:pt idx="0">
                  <c:v>8:30</c:v>
                </c:pt>
                <c:pt idx="1">
                  <c:v>9:15</c:v>
                </c:pt>
                <c:pt idx="2">
                  <c:v>10:00</c:v>
                </c:pt>
                <c:pt idx="3">
                  <c:v>10:45</c:v>
                </c:pt>
                <c:pt idx="4">
                  <c:v>11:30</c:v>
                </c:pt>
                <c:pt idx="5">
                  <c:v>12:15</c:v>
                </c:pt>
                <c:pt idx="6">
                  <c:v>13:00</c:v>
                </c:pt>
              </c:strCache>
            </c:strRef>
          </c:cat>
          <c:val>
            <c:numRef>
              <c:f>STATISTICS!$B$13:$B$19</c:f>
              <c:numCache>
                <c:formatCode>General</c:formatCode>
                <c:ptCount val="7"/>
                <c:pt idx="0">
                  <c:v>21</c:v>
                </c:pt>
                <c:pt idx="1">
                  <c:v>33</c:v>
                </c:pt>
                <c:pt idx="2">
                  <c:v>34</c:v>
                </c:pt>
                <c:pt idx="3">
                  <c:v>28</c:v>
                </c:pt>
                <c:pt idx="4">
                  <c:v>31</c:v>
                </c:pt>
                <c:pt idx="5">
                  <c:v>23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4-471B-AACE-8EFBE047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Ώρα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Πλήθος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l-GR"/>
              <a:t>Συνεδρίες ανά ημέρα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cat>
            <c:strRef>
              <c:f>STATISTICS!$D$13:$D$17</c:f>
              <c:strCache>
                <c:ptCount val="5"/>
                <c:pt idx="0">
                  <c:v>Δε</c:v>
                </c:pt>
                <c:pt idx="1">
                  <c:v>Τρ</c:v>
                </c:pt>
                <c:pt idx="2">
                  <c:v>Τε</c:v>
                </c:pt>
                <c:pt idx="3">
                  <c:v>Πε</c:v>
                </c:pt>
                <c:pt idx="4">
                  <c:v>Πα</c:v>
                </c:pt>
              </c:strCache>
            </c:strRef>
          </c:cat>
          <c:val>
            <c:numRef>
              <c:f>STATISTICS!$E$13:$E$17</c:f>
              <c:numCache>
                <c:formatCode>General</c:formatCode>
                <c:ptCount val="5"/>
                <c:pt idx="0">
                  <c:v>39</c:v>
                </c:pt>
                <c:pt idx="1">
                  <c:v>38</c:v>
                </c:pt>
                <c:pt idx="2">
                  <c:v>42</c:v>
                </c:pt>
                <c:pt idx="3">
                  <c:v>51</c:v>
                </c:pt>
                <c:pt idx="4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1-42AD-9C5E-CED47FAF5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Πλήθος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19</xdr:row>
      <xdr:rowOff>0</xdr:rowOff>
    </xdr:from>
    <xdr:ext cx="360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7</xdr:row>
          <xdr:rowOff>33020</xdr:rowOff>
        </xdr:from>
        <xdr:to>
          <xdr:col>0</xdr:col>
          <xdr:colOff>1595120</xdr:colOff>
          <xdr:row>8</xdr:row>
          <xdr:rowOff>17780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ΕΙΣΑΓΩΓΗ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</xdr:colOff>
          <xdr:row>7</xdr:row>
          <xdr:rowOff>17780</xdr:rowOff>
        </xdr:from>
        <xdr:to>
          <xdr:col>2</xdr:col>
          <xdr:colOff>5080</xdr:colOff>
          <xdr:row>8</xdr:row>
          <xdr:rowOff>25400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8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ΔΙΑΓΡΑΦΗ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</xdr:colOff>
          <xdr:row>1</xdr:row>
          <xdr:rowOff>76200</xdr:rowOff>
        </xdr:from>
        <xdr:to>
          <xdr:col>11</xdr:col>
          <xdr:colOff>601980</xdr:colOff>
          <xdr:row>2</xdr:row>
          <xdr:rowOff>22860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ΑΝΑΝΕΩΣΗ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W550"/>
  <sheetViews>
    <sheetView topLeftCell="C72" zoomScaleNormal="100" workbookViewId="0">
      <pane xSplit="1" topLeftCell="D1" activePane="topRight" state="frozen"/>
      <selection activeCell="C1" sqref="C1"/>
      <selection pane="topRight" activeCell="F96" sqref="F96"/>
    </sheetView>
  </sheetViews>
  <sheetFormatPr defaultRowHeight="14.4" x14ac:dyDescent="0.3"/>
  <cols>
    <col min="1" max="2" width="10" hidden="1" customWidth="1"/>
    <col min="3" max="3" width="22" customWidth="1"/>
    <col min="4" max="4" width="18.21875" bestFit="1" customWidth="1"/>
    <col min="5" max="5" width="18" customWidth="1"/>
    <col min="6" max="6" width="10" customWidth="1"/>
    <col min="7" max="7" width="14" customWidth="1"/>
    <col min="8" max="8" width="16" customWidth="1"/>
    <col min="9" max="9" width="10" customWidth="1"/>
    <col min="10" max="10" width="14" customWidth="1"/>
    <col min="11" max="11" width="16" customWidth="1"/>
    <col min="12" max="12" width="12" customWidth="1"/>
    <col min="13" max="13" width="14" customWidth="1"/>
    <col min="14" max="14" width="10" customWidth="1"/>
    <col min="15" max="15" width="14" customWidth="1"/>
    <col min="16" max="16" width="10" customWidth="1"/>
    <col min="17" max="17" width="14" customWidth="1"/>
    <col min="18" max="18" width="10" customWidth="1"/>
    <col min="19" max="19" width="14" customWidth="1"/>
    <col min="20" max="20" width="10" customWidth="1"/>
    <col min="21" max="21" width="14" customWidth="1"/>
    <col min="22" max="23" width="18" customWidth="1"/>
  </cols>
  <sheetData>
    <row r="1" spans="1:23" ht="28.8" customHeight="1" x14ac:dyDescent="0.3">
      <c r="A1" s="22" t="s">
        <v>11</v>
      </c>
      <c r="B1" s="22" t="s">
        <v>1</v>
      </c>
      <c r="C1" s="22" t="s">
        <v>2</v>
      </c>
      <c r="D1" s="22" t="s">
        <v>0</v>
      </c>
      <c r="E1" s="22" t="s">
        <v>10</v>
      </c>
      <c r="F1" s="23" t="s">
        <v>12</v>
      </c>
      <c r="G1" s="23" t="s">
        <v>13</v>
      </c>
      <c r="H1" s="23" t="s">
        <v>14</v>
      </c>
      <c r="I1" s="24" t="s">
        <v>15</v>
      </c>
      <c r="J1" s="24" t="s">
        <v>16</v>
      </c>
      <c r="K1" s="24" t="s">
        <v>17</v>
      </c>
      <c r="L1" s="23" t="s">
        <v>18</v>
      </c>
      <c r="M1" s="23" t="s">
        <v>19</v>
      </c>
      <c r="N1" s="23" t="s">
        <v>20</v>
      </c>
      <c r="O1" s="23" t="s">
        <v>21</v>
      </c>
      <c r="P1" s="25" t="s">
        <v>22</v>
      </c>
      <c r="Q1" s="25" t="s">
        <v>23</v>
      </c>
      <c r="R1" s="26" t="s">
        <v>24</v>
      </c>
      <c r="S1" s="26" t="s">
        <v>25</v>
      </c>
      <c r="T1" s="27" t="s">
        <v>26</v>
      </c>
      <c r="U1" s="27" t="s">
        <v>27</v>
      </c>
      <c r="V1" s="22" t="s">
        <v>28</v>
      </c>
      <c r="W1" s="22" t="s">
        <v>29</v>
      </c>
    </row>
    <row r="2" spans="1:23" x14ac:dyDescent="0.3">
      <c r="A2" s="1">
        <f>IF(PATIENTS!C2="","",PATIENTS!A2)</f>
        <v>1</v>
      </c>
      <c r="B2" s="2" t="str">
        <f>IF(PATIENTS!C2="","",PATIENTS!B2)</f>
        <v>A01</v>
      </c>
      <c r="C2" s="2" t="str">
        <f>IF(PATIENTS!C2="","",PATIENTS!C2)</f>
        <v>ΜΟΤΣΙΟΣ</v>
      </c>
      <c r="D2" s="1" t="str">
        <f>IF(PATIENTS!C2="","",PATIENTS!D2)</f>
        <v>Ο</v>
      </c>
      <c r="E2" s="2" t="str">
        <f>IF(PATIENTS!C2="","",PATIENTS!E2)</f>
        <v>παρών</v>
      </c>
      <c r="F2" s="40" t="s">
        <v>30</v>
      </c>
      <c r="G2" s="3" t="s">
        <v>31</v>
      </c>
      <c r="H2" s="3" t="s">
        <v>32</v>
      </c>
      <c r="I2" s="4" t="s">
        <v>30</v>
      </c>
      <c r="J2" s="4" t="s">
        <v>33</v>
      </c>
      <c r="K2" s="4" t="s">
        <v>32</v>
      </c>
      <c r="L2" s="5" t="s">
        <v>34</v>
      </c>
      <c r="M2" s="5" t="s">
        <v>35</v>
      </c>
      <c r="N2" s="5"/>
      <c r="O2" s="5"/>
      <c r="P2" s="6" t="s">
        <v>42</v>
      </c>
      <c r="Q2" s="6" t="s">
        <v>75</v>
      </c>
      <c r="R2" s="7"/>
      <c r="S2" s="7"/>
      <c r="T2" s="4"/>
      <c r="U2" s="4"/>
      <c r="V2" s="2"/>
      <c r="W2" s="2"/>
    </row>
    <row r="3" spans="1:23" x14ac:dyDescent="0.3">
      <c r="A3" s="1">
        <f>IF(PATIENTS!C3="","",PATIENTS!A3)</f>
        <v>2</v>
      </c>
      <c r="B3" s="2" t="str">
        <f>IF(PATIENTS!C3="","",PATIENTS!B3)</f>
        <v>A02</v>
      </c>
      <c r="C3" s="12" t="str">
        <f>IF(PATIENTS!C3="","",PATIENTS!C3)</f>
        <v>ΒΑΡΒΑΡΑΣ</v>
      </c>
      <c r="D3" s="1" t="str">
        <f>IF(PATIENTS!C3="","",PATIENTS!D3)</f>
        <v>Ν</v>
      </c>
      <c r="E3" s="2" t="str">
        <f>IF(PATIENTS!C3="","",PATIENTS!E3)</f>
        <v>διακομισμένος</v>
      </c>
      <c r="F3" s="3" t="s">
        <v>37</v>
      </c>
      <c r="G3" s="3"/>
      <c r="H3" s="3"/>
      <c r="I3" s="4"/>
      <c r="J3" s="4"/>
      <c r="K3" s="4"/>
      <c r="L3" s="5"/>
      <c r="M3" s="5"/>
      <c r="N3" s="5"/>
      <c r="O3" s="5"/>
      <c r="P3" s="6"/>
      <c r="Q3" s="6"/>
      <c r="R3" s="7" t="s">
        <v>36</v>
      </c>
      <c r="S3" s="7" t="s">
        <v>38</v>
      </c>
      <c r="T3" s="4"/>
      <c r="U3" s="4"/>
      <c r="V3" s="2"/>
      <c r="W3" s="2"/>
    </row>
    <row r="4" spans="1:23" x14ac:dyDescent="0.3">
      <c r="A4" s="1">
        <f>IF(PATIENTS!C4="","",PATIENTS!A4)</f>
        <v>3</v>
      </c>
      <c r="B4" s="2" t="str">
        <f>IF(PATIENTS!C4="","",PATIENTS!B4)</f>
        <v>A02</v>
      </c>
      <c r="C4" s="12" t="str">
        <f>IF(PATIENTS!C4="","",PATIENTS!C4)</f>
        <v>ΖΑΛΟΚΩΣΤΑΣ</v>
      </c>
      <c r="D4" s="1" t="str">
        <f>IF(PATIENTS!C4="","",PATIENTS!D4)</f>
        <v>Ν</v>
      </c>
      <c r="E4" s="2" t="str">
        <f>IF(PATIENTS!C4="","",PATIENTS!E4)</f>
        <v>παρών</v>
      </c>
      <c r="F4" s="3" t="s">
        <v>39</v>
      </c>
      <c r="G4" s="3" t="s">
        <v>229</v>
      </c>
      <c r="H4" s="3" t="s">
        <v>40</v>
      </c>
      <c r="I4" s="4"/>
      <c r="J4" s="4"/>
      <c r="K4" s="4"/>
      <c r="L4" s="5"/>
      <c r="M4" s="5"/>
      <c r="N4" s="5"/>
      <c r="O4" s="5"/>
      <c r="P4" s="6" t="s">
        <v>36</v>
      </c>
      <c r="Q4" s="6" t="s">
        <v>31</v>
      </c>
      <c r="R4" s="7"/>
      <c r="S4" s="7"/>
      <c r="T4" s="4"/>
      <c r="U4" s="4"/>
      <c r="V4" s="2"/>
      <c r="W4" s="2"/>
    </row>
    <row r="5" spans="1:23" x14ac:dyDescent="0.3">
      <c r="A5" s="1">
        <f>IF(PATIENTS!C5="","",PATIENTS!A5)</f>
        <v>4</v>
      </c>
      <c r="B5" s="2" t="str">
        <f>IF(PATIENTS!C5="","",PATIENTS!B5)</f>
        <v>A02</v>
      </c>
      <c r="C5" s="12" t="str">
        <f>IF(PATIENTS!C5="","",PATIENTS!C5)</f>
        <v>ΠΑΠΑΔΟΠΟΥΛΟΥ</v>
      </c>
      <c r="D5" s="1" t="str">
        <f>IF(PATIENTS!C5="","",PATIENTS!D5)</f>
        <v>Ν</v>
      </c>
      <c r="E5" s="2" t="str">
        <f>IF(PATIENTS!C5="","",PATIENTS!E5)</f>
        <v>παρών</v>
      </c>
      <c r="F5" s="3" t="s">
        <v>37</v>
      </c>
      <c r="G5" s="3" t="s">
        <v>229</v>
      </c>
      <c r="H5" s="3" t="s">
        <v>41</v>
      </c>
      <c r="I5" s="4"/>
      <c r="J5" s="4"/>
      <c r="K5" s="4"/>
      <c r="L5" s="5"/>
      <c r="M5" s="5"/>
      <c r="N5" s="5"/>
      <c r="O5" s="5"/>
      <c r="P5" s="6"/>
      <c r="Q5" s="6"/>
      <c r="R5" s="7"/>
      <c r="S5" s="7"/>
      <c r="T5" s="4"/>
      <c r="U5" s="4"/>
      <c r="V5" s="2"/>
      <c r="W5" s="2"/>
    </row>
    <row r="6" spans="1:23" x14ac:dyDescent="0.3">
      <c r="A6" s="1">
        <f>IF(PATIENTS!C6="","",PATIENTS!A6)</f>
        <v>5</v>
      </c>
      <c r="B6" s="2" t="str">
        <f>IF(PATIENTS!C6="","",PATIENTS!B6)</f>
        <v>A02</v>
      </c>
      <c r="C6" s="12" t="str">
        <f>IF(PATIENTS!C6="","",PATIENTS!C6)</f>
        <v>ΦΡΑΓΚΗΣ ΙΩΑ</v>
      </c>
      <c r="D6" s="1" t="str">
        <f>IF(PATIENTS!C6="","",PATIENTS!D6)</f>
        <v>Ν</v>
      </c>
      <c r="E6" s="2" t="str">
        <f>IF(PATIENTS!C6="","",PATIENTS!E6)</f>
        <v>παρών</v>
      </c>
      <c r="F6" s="3" t="s">
        <v>44</v>
      </c>
      <c r="G6" s="3" t="s">
        <v>229</v>
      </c>
      <c r="H6" s="3" t="s">
        <v>32</v>
      </c>
      <c r="I6" s="4"/>
      <c r="J6" s="4"/>
      <c r="K6" s="4"/>
      <c r="L6" s="5"/>
      <c r="M6" s="5"/>
      <c r="N6" s="5"/>
      <c r="O6" s="5"/>
      <c r="P6" s="6" t="s">
        <v>42</v>
      </c>
      <c r="Q6" s="6" t="s">
        <v>31</v>
      </c>
      <c r="R6" s="7"/>
      <c r="S6" s="7"/>
      <c r="T6" s="4"/>
      <c r="U6" s="4"/>
      <c r="V6" s="2"/>
      <c r="W6" s="2"/>
    </row>
    <row r="7" spans="1:23" x14ac:dyDescent="0.3">
      <c r="A7" s="1">
        <f>IF(PATIENTS!C7="","",PATIENTS!A7)</f>
        <v>6</v>
      </c>
      <c r="B7" s="2" t="str">
        <f>IF(PATIENTS!C7="","",PATIENTS!B7)</f>
        <v>A03</v>
      </c>
      <c r="C7" s="12" t="str">
        <f>IF(PATIENTS!C7="","",PATIENTS!C7)</f>
        <v>DUPE</v>
      </c>
      <c r="D7" s="1" t="str">
        <f>IF(PATIENTS!C7="","",PATIENTS!D7)</f>
        <v>Ν</v>
      </c>
      <c r="E7" s="2" t="str">
        <f>IF(PATIENTS!C7="","",PATIENTS!E7)</f>
        <v>παρών</v>
      </c>
      <c r="F7" s="3"/>
      <c r="G7" s="3"/>
      <c r="H7" s="3"/>
      <c r="I7" s="4"/>
      <c r="J7" s="4"/>
      <c r="K7" s="4"/>
      <c r="L7" s="5"/>
      <c r="M7" s="5"/>
      <c r="N7" s="5"/>
      <c r="O7" s="5"/>
      <c r="P7" s="6"/>
      <c r="Q7" s="6"/>
      <c r="R7" s="7"/>
      <c r="S7" s="7"/>
      <c r="T7" s="4"/>
      <c r="U7" s="4"/>
      <c r="V7" s="2"/>
      <c r="W7" s="2"/>
    </row>
    <row r="8" spans="1:23" x14ac:dyDescent="0.3">
      <c r="A8" s="1">
        <f>IF(PATIENTS!C8="","",PATIENTS!A8)</f>
        <v>7</v>
      </c>
      <c r="B8" s="2" t="str">
        <f>IF(PATIENTS!C8="","",PATIENTS!B8)</f>
        <v>A03</v>
      </c>
      <c r="C8" s="12" t="str">
        <f>IF(PATIENTS!C8="","",PATIENTS!C8)</f>
        <v>ΓΡΑΙΚΟΣ</v>
      </c>
      <c r="D8" s="1" t="str">
        <f>IF(PATIENTS!C8="","",PATIENTS!D8)</f>
        <v>Ν</v>
      </c>
      <c r="E8" s="2" t="str">
        <f>IF(PATIENTS!C8="","",PATIENTS!E8)</f>
        <v>παρών</v>
      </c>
      <c r="F8" s="40" t="s">
        <v>39</v>
      </c>
      <c r="G8" s="3" t="s">
        <v>229</v>
      </c>
      <c r="H8" s="3" t="s">
        <v>43</v>
      </c>
      <c r="I8" s="4"/>
      <c r="J8" s="4"/>
      <c r="K8" s="4"/>
      <c r="L8" s="5"/>
      <c r="M8" s="5"/>
      <c r="N8" s="5"/>
      <c r="O8" s="5"/>
      <c r="P8" s="6" t="s">
        <v>44</v>
      </c>
      <c r="Q8" s="6"/>
      <c r="R8" s="7"/>
      <c r="S8" s="7"/>
      <c r="T8" s="4"/>
      <c r="U8" s="4"/>
      <c r="V8" s="2"/>
      <c r="W8" s="2"/>
    </row>
    <row r="9" spans="1:23" x14ac:dyDescent="0.3">
      <c r="A9" s="1">
        <f>IF(PATIENTS!C9="","",PATIENTS!A9)</f>
        <v>8</v>
      </c>
      <c r="B9" s="2" t="str">
        <f>IF(PATIENTS!C9="","",PATIENTS!B9)</f>
        <v>A03</v>
      </c>
      <c r="C9" s="12" t="str">
        <f>IF(PATIENTS!C9="","",PATIENTS!C9)</f>
        <v>ΜΕΝΤΗΣ</v>
      </c>
      <c r="D9" s="1" t="str">
        <f>IF(PATIENTS!C9="","",PATIENTS!D9)</f>
        <v>Ν</v>
      </c>
      <c r="E9" s="2" t="str">
        <f>IF(PATIENTS!C9="","",PATIENTS!E9)</f>
        <v>παρών</v>
      </c>
      <c r="F9" s="3" t="s">
        <v>44</v>
      </c>
      <c r="G9" s="3" t="s">
        <v>229</v>
      </c>
      <c r="H9" s="3" t="s">
        <v>45</v>
      </c>
      <c r="I9" s="4"/>
      <c r="J9" s="4"/>
      <c r="K9" s="4"/>
      <c r="L9" s="5"/>
      <c r="M9" s="5"/>
      <c r="N9" s="5"/>
      <c r="O9" s="5"/>
      <c r="P9" s="6" t="s">
        <v>42</v>
      </c>
      <c r="Q9" s="6" t="s">
        <v>33</v>
      </c>
      <c r="R9" s="7" t="s">
        <v>42</v>
      </c>
      <c r="S9" s="7" t="s">
        <v>31</v>
      </c>
      <c r="T9" s="4"/>
      <c r="U9" s="4"/>
      <c r="V9" s="2"/>
      <c r="W9" s="2"/>
    </row>
    <row r="10" spans="1:23" x14ac:dyDescent="0.3">
      <c r="A10" s="1">
        <f>IF(PATIENTS!C10="","",PATIENTS!A10)</f>
        <v>9</v>
      </c>
      <c r="B10" s="2" t="str">
        <f>IF(PATIENTS!C10="","",PATIENTS!B10)</f>
        <v>A11</v>
      </c>
      <c r="C10" s="12" t="str">
        <f>IF(PATIENTS!C10="","",PATIENTS!C10)</f>
        <v>ΠΕΤΙΡΟΠΟΥΛΟΣ</v>
      </c>
      <c r="D10" s="1" t="str">
        <f>IF(PATIENTS!C10="","",PATIENTS!D10)</f>
        <v>Ο</v>
      </c>
      <c r="E10" s="2" t="str">
        <f>IF(PATIENTS!C10="","",PATIENTS!E10)</f>
        <v>παρών</v>
      </c>
      <c r="F10" s="3" t="s">
        <v>30</v>
      </c>
      <c r="G10" s="3" t="s">
        <v>33</v>
      </c>
      <c r="H10" s="3" t="s">
        <v>46</v>
      </c>
      <c r="I10" s="4"/>
      <c r="J10" s="4"/>
      <c r="K10" s="4"/>
      <c r="L10" s="5"/>
      <c r="M10" s="5"/>
      <c r="N10" s="5"/>
      <c r="O10" s="5"/>
      <c r="P10" s="6"/>
      <c r="Q10" s="6"/>
      <c r="R10" s="7"/>
      <c r="S10" s="7"/>
      <c r="T10" s="4"/>
      <c r="U10" s="4"/>
      <c r="V10" s="2"/>
      <c r="W10" s="2"/>
    </row>
    <row r="11" spans="1:23" x14ac:dyDescent="0.3">
      <c r="A11" s="1">
        <f>IF(PATIENTS!C11="","",PATIENTS!A11)</f>
        <v>10</v>
      </c>
      <c r="B11" s="2" t="str">
        <f>IF(PATIENTS!C11="","",PATIENTS!B11)</f>
        <v>A04</v>
      </c>
      <c r="C11" s="2" t="str">
        <f>IF(PATIENTS!C11="","",PATIENTS!C11)</f>
        <v>ΒΑΛΛΙΑΝΑΤΟΥ</v>
      </c>
      <c r="D11" s="1" t="str">
        <f>IF(PATIENTS!C11="","",PATIENTS!D11)</f>
        <v>Ο</v>
      </c>
      <c r="E11" s="2" t="str">
        <f>IF(PATIENTS!C11="","",PATIENTS!E11)</f>
        <v>παρών</v>
      </c>
      <c r="F11" s="3" t="s">
        <v>39</v>
      </c>
      <c r="G11" s="3" t="s">
        <v>229</v>
      </c>
      <c r="H11" s="3" t="s">
        <v>47</v>
      </c>
      <c r="I11" s="4"/>
      <c r="J11" s="4"/>
      <c r="K11" s="4"/>
      <c r="L11" s="5"/>
      <c r="M11" s="5"/>
      <c r="N11" s="5"/>
      <c r="O11" s="5"/>
      <c r="P11" s="6" t="s">
        <v>37</v>
      </c>
      <c r="Q11" s="6" t="s">
        <v>48</v>
      </c>
      <c r="R11" s="7"/>
      <c r="S11" s="7"/>
      <c r="T11" s="4"/>
      <c r="U11" s="4"/>
      <c r="V11" s="2"/>
      <c r="W11" s="2"/>
    </row>
    <row r="12" spans="1:23" x14ac:dyDescent="0.3">
      <c r="A12" s="1">
        <f>IF(PATIENTS!C12="","",PATIENTS!A12)</f>
        <v>11</v>
      </c>
      <c r="B12" s="2" t="str">
        <f>IF(PATIENTS!C12="","",PATIENTS!B12)</f>
        <v>B08</v>
      </c>
      <c r="C12" s="2" t="str">
        <f>IF(PATIENTS!C12="","",PATIENTS!C12)</f>
        <v>ΓΩΓΟΥΛΑ</v>
      </c>
      <c r="D12" s="1" t="str">
        <f>IF(PATIENTS!C12="","",PATIENTS!D12)</f>
        <v>Ο</v>
      </c>
      <c r="E12" s="2" t="str">
        <f>IF(PATIENTS!C12="","",PATIENTS!E12)</f>
        <v>παρών</v>
      </c>
      <c r="F12" s="3" t="s">
        <v>37</v>
      </c>
      <c r="G12" s="3" t="s">
        <v>229</v>
      </c>
      <c r="H12" s="3" t="s">
        <v>45</v>
      </c>
      <c r="I12" s="4"/>
      <c r="J12" s="4"/>
      <c r="K12" s="4"/>
      <c r="L12" s="5"/>
      <c r="M12" s="5"/>
      <c r="N12" s="5"/>
      <c r="O12" s="5"/>
      <c r="P12" s="6"/>
      <c r="Q12" s="6"/>
      <c r="R12" s="7"/>
      <c r="S12" s="7"/>
      <c r="T12" s="4"/>
      <c r="U12" s="4"/>
      <c r="V12" s="2"/>
      <c r="W12" s="2"/>
    </row>
    <row r="13" spans="1:23" x14ac:dyDescent="0.3">
      <c r="A13" s="1">
        <f>IF(PATIENTS!C13="","",PATIENTS!A13)</f>
        <v>12</v>
      </c>
      <c r="B13" s="2" t="str">
        <f>IF(PATIENTS!C13="","",PATIENTS!B13)</f>
        <v>A05</v>
      </c>
      <c r="C13" s="2" t="str">
        <f>IF(PATIENTS!C13="","",PATIENTS!C13)</f>
        <v>ΓΙΑΝΝΙΑ</v>
      </c>
      <c r="D13" s="1" t="str">
        <f>IF(PATIENTS!C13="","",PATIENTS!D13)</f>
        <v>Ο</v>
      </c>
      <c r="E13" s="2" t="str">
        <f>IF(PATIENTS!C13="","",PATIENTS!E13)</f>
        <v>παρών</v>
      </c>
      <c r="F13" s="42" t="s">
        <v>39</v>
      </c>
      <c r="G13" s="3" t="s">
        <v>229</v>
      </c>
      <c r="H13" s="43" t="s">
        <v>49</v>
      </c>
      <c r="I13" s="41">
        <v>0.35416666666666669</v>
      </c>
      <c r="J13" s="4" t="s">
        <v>50</v>
      </c>
      <c r="K13" s="4" t="s">
        <v>49</v>
      </c>
      <c r="L13" s="5"/>
      <c r="M13" s="5"/>
      <c r="N13" s="5"/>
      <c r="O13" s="5"/>
      <c r="P13" s="6" t="s">
        <v>44</v>
      </c>
      <c r="Q13" s="6"/>
      <c r="R13" s="7"/>
      <c r="S13" s="7"/>
      <c r="T13" s="4" t="s">
        <v>30</v>
      </c>
      <c r="U13" s="4" t="s">
        <v>50</v>
      </c>
      <c r="V13" s="2"/>
      <c r="W13" s="2"/>
    </row>
    <row r="14" spans="1:23" x14ac:dyDescent="0.3">
      <c r="A14" s="1">
        <f>IF(PATIENTS!C14="","",PATIENTS!A14)</f>
        <v>13</v>
      </c>
      <c r="B14" s="2" t="str">
        <f>IF(PATIENTS!C14="","",PATIENTS!B14)</f>
        <v>A05</v>
      </c>
      <c r="C14" s="2" t="str">
        <f>IF(PATIENTS!C14="","",PATIENTS!C14)</f>
        <v>ΠΟΠΟΥΛΙΔΟΥ</v>
      </c>
      <c r="D14" s="1" t="str">
        <f>IF(PATIENTS!C14="","",PATIENTS!D14)</f>
        <v>Ο</v>
      </c>
      <c r="E14" s="2" t="str">
        <f>IF(PATIENTS!C14="","",PATIENTS!E14)</f>
        <v>παρών</v>
      </c>
      <c r="F14" s="3" t="s">
        <v>30</v>
      </c>
      <c r="G14" s="3" t="s">
        <v>229</v>
      </c>
      <c r="H14" s="3" t="s">
        <v>41</v>
      </c>
      <c r="I14" s="4"/>
      <c r="J14" s="4"/>
      <c r="K14" s="4"/>
      <c r="L14" s="5"/>
      <c r="M14" s="5"/>
      <c r="N14" s="5"/>
      <c r="O14" s="5"/>
      <c r="P14" s="6" t="s">
        <v>44</v>
      </c>
      <c r="Q14" s="6" t="s">
        <v>31</v>
      </c>
      <c r="R14" s="7"/>
      <c r="S14" s="7"/>
      <c r="T14" s="4"/>
      <c r="U14" s="4"/>
      <c r="V14" s="2"/>
      <c r="W14" s="2"/>
    </row>
    <row r="15" spans="1:23" x14ac:dyDescent="0.3">
      <c r="A15" s="1">
        <f>IF(PATIENTS!C15="","",PATIENTS!A15)</f>
        <v>14</v>
      </c>
      <c r="B15" s="2" t="str">
        <f>IF(PATIENTS!C15="","",PATIENTS!B15)</f>
        <v>A05</v>
      </c>
      <c r="C15" s="2" t="str">
        <f>IF(PATIENTS!C15="","",PATIENTS!C15)</f>
        <v>ΣΑΒΒΑΚΗ</v>
      </c>
      <c r="D15" s="1" t="str">
        <f>IF(PATIENTS!C15="","",PATIENTS!D15)</f>
        <v>Ο</v>
      </c>
      <c r="E15" s="2" t="str">
        <f>IF(PATIENTS!C15="","",PATIENTS!E15)</f>
        <v>παρών</v>
      </c>
      <c r="F15" s="40" t="s">
        <v>37</v>
      </c>
      <c r="G15" s="3" t="s">
        <v>229</v>
      </c>
      <c r="H15" s="3" t="s">
        <v>57</v>
      </c>
      <c r="I15" s="4"/>
      <c r="J15" s="4"/>
      <c r="K15" s="4"/>
      <c r="L15" s="5"/>
      <c r="M15" s="5"/>
      <c r="N15" s="5"/>
      <c r="O15" s="5"/>
      <c r="P15" s="6" t="s">
        <v>44</v>
      </c>
      <c r="Q15" s="6" t="s">
        <v>31</v>
      </c>
      <c r="R15" s="7"/>
      <c r="S15" s="7"/>
      <c r="T15" s="4"/>
      <c r="U15" s="4"/>
      <c r="V15" s="2"/>
      <c r="W15" s="2"/>
    </row>
    <row r="16" spans="1:23" x14ac:dyDescent="0.3">
      <c r="A16" s="1">
        <f>IF(PATIENTS!C16="","",PATIENTS!A16)</f>
        <v>15</v>
      </c>
      <c r="B16" s="2" t="str">
        <f>IF(PATIENTS!C16="","",PATIENTS!B16)</f>
        <v>A07</v>
      </c>
      <c r="C16" s="2" t="str">
        <f>IF(PATIENTS!C16="","",PATIENTS!C16)</f>
        <v>ΖΕΑΚΗ</v>
      </c>
      <c r="D16" s="1" t="str">
        <f>IF(PATIENTS!C16="","",PATIENTS!D16)</f>
        <v>Ο</v>
      </c>
      <c r="E16" s="2" t="str">
        <f>IF(PATIENTS!C16="","",PATIENTS!E16)</f>
        <v>προσωρινό εξιτήριο</v>
      </c>
      <c r="F16" s="3" t="s">
        <v>36</v>
      </c>
      <c r="G16" s="3"/>
      <c r="H16" s="3"/>
      <c r="I16" s="4"/>
      <c r="J16" s="4"/>
      <c r="K16" s="4"/>
      <c r="L16" s="5"/>
      <c r="M16" s="5"/>
      <c r="N16" s="5"/>
      <c r="O16" s="5"/>
      <c r="P16" s="6" t="s">
        <v>44</v>
      </c>
      <c r="Q16" s="6"/>
      <c r="R16" s="7"/>
      <c r="S16" s="7"/>
      <c r="T16" s="4" t="s">
        <v>30</v>
      </c>
      <c r="U16" s="4" t="s">
        <v>48</v>
      </c>
      <c r="V16" s="2"/>
      <c r="W16" s="2"/>
    </row>
    <row r="17" spans="1:23" x14ac:dyDescent="0.3">
      <c r="A17" s="1">
        <f>IF(PATIENTS!C17="","",PATIENTS!A17)</f>
        <v>16</v>
      </c>
      <c r="B17" s="2" t="str">
        <f>IF(PATIENTS!C17="","",PATIENTS!B17)</f>
        <v>A07</v>
      </c>
      <c r="C17" s="2" t="str">
        <f>IF(PATIENTS!C17="","",PATIENTS!C17)</f>
        <v>ΚΑΜΙΝΑΡΗ ΚΩΝ</v>
      </c>
      <c r="D17" s="1" t="str">
        <f>IF(PATIENTS!C17="","",PATIENTS!D17)</f>
        <v>Ο</v>
      </c>
      <c r="E17" s="2" t="str">
        <f>IF(PATIENTS!C17="","",PATIENTS!E17)</f>
        <v>παρών</v>
      </c>
      <c r="F17" s="3" t="s">
        <v>74</v>
      </c>
      <c r="G17" s="3" t="s">
        <v>229</v>
      </c>
      <c r="H17" s="3" t="s">
        <v>40</v>
      </c>
      <c r="I17" s="4"/>
      <c r="J17" s="4"/>
      <c r="K17" s="4"/>
      <c r="L17" s="5"/>
      <c r="M17" s="5"/>
      <c r="N17" s="5"/>
      <c r="O17" s="5"/>
      <c r="P17" s="6" t="s">
        <v>30</v>
      </c>
      <c r="Q17" s="6" t="s">
        <v>33</v>
      </c>
      <c r="R17" s="7"/>
      <c r="S17" s="7"/>
      <c r="T17" s="4"/>
      <c r="U17" s="4"/>
      <c r="V17" s="2"/>
      <c r="W17" s="2"/>
    </row>
    <row r="18" spans="1:23" x14ac:dyDescent="0.3">
      <c r="A18" s="1">
        <f>IF(PATIENTS!C18="","",PATIENTS!A18)</f>
        <v>17</v>
      </c>
      <c r="B18" s="2" t="str">
        <f>IF(PATIENTS!C18="","",PATIENTS!B18)</f>
        <v>A07</v>
      </c>
      <c r="C18" s="2" t="str">
        <f>IF(PATIENTS!C18="","",PATIENTS!C18)</f>
        <v>ΚΟΥΡΟΥΠΗ</v>
      </c>
      <c r="D18" s="1" t="str">
        <f>IF(PATIENTS!C18="","",PATIENTS!D18)</f>
        <v>Ο</v>
      </c>
      <c r="E18" s="2" t="str">
        <f>IF(PATIENTS!C18="","",PATIENTS!E18)</f>
        <v>παρών</v>
      </c>
      <c r="F18" s="3" t="s">
        <v>37</v>
      </c>
      <c r="G18" s="3" t="s">
        <v>229</v>
      </c>
      <c r="H18" s="3" t="s">
        <v>53</v>
      </c>
      <c r="I18" s="4"/>
      <c r="J18" s="4"/>
      <c r="K18" s="4"/>
      <c r="L18" s="5"/>
      <c r="M18" s="5"/>
      <c r="N18" s="5"/>
      <c r="O18" s="5"/>
      <c r="P18" s="6" t="s">
        <v>39</v>
      </c>
      <c r="Q18" s="6"/>
      <c r="R18" s="7"/>
      <c r="S18" s="7"/>
      <c r="T18" s="4"/>
      <c r="U18" s="4"/>
      <c r="V18" s="2"/>
      <c r="W18" s="2"/>
    </row>
    <row r="19" spans="1:23" x14ac:dyDescent="0.3">
      <c r="A19" s="1">
        <f>IF(PATIENTS!C19="","",PATIENTS!A19)</f>
        <v>18</v>
      </c>
      <c r="B19" s="2" t="str">
        <f>IF(PATIENTS!C19="","",PATIENTS!B19)</f>
        <v>A07</v>
      </c>
      <c r="C19" s="2" t="str">
        <f>IF(PATIENTS!C19="","",PATIENTS!C19)</f>
        <v>ΚΟΥΤΣΑΒΛΗ</v>
      </c>
      <c r="D19" s="1" t="str">
        <f>IF(PATIENTS!C19="","",PATIENTS!D19)</f>
        <v>Ο</v>
      </c>
      <c r="E19" s="2" t="str">
        <f>IF(PATIENTS!C19="","",PATIENTS!E19)</f>
        <v>παρών</v>
      </c>
      <c r="F19" s="3" t="s">
        <v>44</v>
      </c>
      <c r="G19" s="3" t="s">
        <v>229</v>
      </c>
      <c r="H19" s="3" t="s">
        <v>41</v>
      </c>
      <c r="I19" s="4"/>
      <c r="J19" s="4"/>
      <c r="K19" s="4"/>
      <c r="L19" s="5"/>
      <c r="M19" s="5"/>
      <c r="N19" s="5"/>
      <c r="O19" s="5"/>
      <c r="P19" s="6" t="s">
        <v>36</v>
      </c>
      <c r="Q19" s="6"/>
      <c r="R19" s="7" t="s">
        <v>37</v>
      </c>
      <c r="S19" s="7" t="s">
        <v>35</v>
      </c>
      <c r="T19" s="4"/>
      <c r="U19" s="4"/>
      <c r="V19" s="2"/>
      <c r="W19" s="2"/>
    </row>
    <row r="20" spans="1:23" x14ac:dyDescent="0.3">
      <c r="A20" s="1">
        <f>IF(PATIENTS!C20="","",PATIENTS!A20)</f>
        <v>19</v>
      </c>
      <c r="B20" s="2" t="str">
        <f>IF(PATIENTS!C20="","",PATIENTS!B20)</f>
        <v>A07</v>
      </c>
      <c r="C20" s="2" t="str">
        <f>IF(PATIENTS!C20="","",PATIENTS!C20)</f>
        <v>ΜΠΟΛΛΗ</v>
      </c>
      <c r="D20" s="1" t="str">
        <f>IF(PATIENTS!C20="","",PATIENTS!D20)</f>
        <v>Ο</v>
      </c>
      <c r="E20" s="2" t="str">
        <f>IF(PATIENTS!C20="","",PATIENTS!E20)</f>
        <v>παρών</v>
      </c>
      <c r="F20" s="3" t="s">
        <v>30</v>
      </c>
      <c r="G20" s="3"/>
      <c r="H20" s="3"/>
      <c r="I20" s="4"/>
      <c r="J20" s="4"/>
      <c r="K20" s="4"/>
      <c r="L20" s="5"/>
      <c r="M20" s="5"/>
      <c r="N20" s="5"/>
      <c r="O20" s="5"/>
      <c r="P20" s="6"/>
      <c r="Q20" s="6"/>
      <c r="R20" s="7"/>
      <c r="S20" s="7"/>
      <c r="T20" s="4"/>
      <c r="U20" s="4"/>
      <c r="V20" s="2"/>
      <c r="W20" s="2"/>
    </row>
    <row r="21" spans="1:23" x14ac:dyDescent="0.3">
      <c r="A21" s="1">
        <f>IF(PATIENTS!C21="","",PATIENTS!A21)</f>
        <v>20</v>
      </c>
      <c r="B21" s="2" t="str">
        <f>IF(PATIENTS!C21="","",PATIENTS!B21)</f>
        <v>A08</v>
      </c>
      <c r="C21" s="2" t="str">
        <f>IF(PATIENTS!C21="","",PATIENTS!C21)</f>
        <v>ΛΙΑΚΟΣ.</v>
      </c>
      <c r="D21" s="1" t="str">
        <f>IF(PATIENTS!C21="","",PATIENTS!D21)</f>
        <v>Ο</v>
      </c>
      <c r="E21" s="2" t="str">
        <f>IF(PATIENTS!C21="","",PATIENTS!E21)</f>
        <v>παρών</v>
      </c>
      <c r="F21" s="3" t="s">
        <v>36</v>
      </c>
      <c r="G21" s="3" t="s">
        <v>31</v>
      </c>
      <c r="H21" s="3" t="s">
        <v>55</v>
      </c>
      <c r="I21" s="4"/>
      <c r="J21" s="4"/>
      <c r="K21" s="4"/>
      <c r="L21" s="5"/>
      <c r="M21" s="5"/>
      <c r="N21" s="5"/>
      <c r="O21" s="5"/>
      <c r="P21" s="6"/>
      <c r="Q21" s="6"/>
      <c r="R21" s="7"/>
      <c r="S21" s="7"/>
      <c r="T21" s="4"/>
      <c r="U21" s="4"/>
      <c r="V21" s="2"/>
      <c r="W21" s="2"/>
    </row>
    <row r="22" spans="1:23" x14ac:dyDescent="0.3">
      <c r="A22" s="1">
        <f>IF(PATIENTS!C22="","",PATIENTS!A22)</f>
        <v>21</v>
      </c>
      <c r="B22" s="2" t="str">
        <f>IF(PATIENTS!C22="","",PATIENTS!B22)</f>
        <v>A08</v>
      </c>
      <c r="C22" s="2" t="str">
        <f>IF(PATIENTS!C22="","",PATIENTS!C22)</f>
        <v>ΡΟΥΣΣΗΣ ΓΕΩ</v>
      </c>
      <c r="D22" s="1" t="str">
        <f>IF(PATIENTS!C22="","",PATIENTS!D22)</f>
        <v>Ο</v>
      </c>
      <c r="E22" s="2" t="str">
        <f>IF(PATIENTS!C22="","",PATIENTS!E22)</f>
        <v>παρών</v>
      </c>
      <c r="F22" s="3" t="s">
        <v>39</v>
      </c>
      <c r="G22" s="3" t="s">
        <v>31</v>
      </c>
      <c r="H22" s="3" t="s">
        <v>45</v>
      </c>
      <c r="I22" s="4"/>
      <c r="J22" s="4"/>
      <c r="K22" s="4"/>
      <c r="L22" s="5"/>
      <c r="M22" s="5"/>
      <c r="N22" s="5"/>
      <c r="O22" s="5"/>
      <c r="P22" s="6"/>
      <c r="Q22" s="6"/>
      <c r="R22" s="7"/>
      <c r="S22" s="7"/>
      <c r="T22" s="4"/>
      <c r="U22" s="4"/>
      <c r="V22" s="2"/>
      <c r="W22" s="2"/>
    </row>
    <row r="23" spans="1:23" x14ac:dyDescent="0.3">
      <c r="A23" s="1">
        <f>IF(PATIENTS!C23="","",PATIENTS!A23)</f>
        <v>22</v>
      </c>
      <c r="B23" s="2" t="str">
        <f>IF(PATIENTS!C23="","",PATIENTS!B23)</f>
        <v>A08</v>
      </c>
      <c r="C23" s="2" t="str">
        <f>IF(PATIENTS!C23="","",PATIENTS!C23)</f>
        <v>ΣΑΚΕΡΛΗΣ</v>
      </c>
      <c r="D23" s="1" t="str">
        <f>IF(PATIENTS!C23="","",PATIENTS!D23)</f>
        <v>Ο</v>
      </c>
      <c r="E23" s="2" t="str">
        <f>IF(PATIENTS!C23="","",PATIENTS!E23)</f>
        <v>παρών</v>
      </c>
      <c r="F23" s="3" t="s">
        <v>74</v>
      </c>
      <c r="G23" s="3" t="s">
        <v>229</v>
      </c>
      <c r="H23" s="3" t="s">
        <v>45</v>
      </c>
      <c r="I23" s="4"/>
      <c r="J23" s="4"/>
      <c r="K23" s="4"/>
      <c r="L23" s="5"/>
      <c r="M23" s="5"/>
      <c r="N23" s="5"/>
      <c r="O23" s="5"/>
      <c r="P23" s="6" t="s">
        <v>42</v>
      </c>
      <c r="Q23" s="6" t="s">
        <v>31</v>
      </c>
      <c r="R23" s="7"/>
      <c r="S23" s="7"/>
      <c r="T23" s="4"/>
      <c r="U23" s="4"/>
      <c r="V23" s="2"/>
      <c r="W23" s="2"/>
    </row>
    <row r="24" spans="1:23" x14ac:dyDescent="0.3">
      <c r="A24" s="1">
        <f>IF(PATIENTS!C24="","",PATIENTS!A24)</f>
        <v>23</v>
      </c>
      <c r="B24" s="2" t="str">
        <f>IF(PATIENTS!C24="","",PATIENTS!B24)</f>
        <v>A08</v>
      </c>
      <c r="C24" s="2" t="str">
        <f>IF(PATIENTS!C24="","",PATIENTS!C24)</f>
        <v>ΣΙΩΤΟΣ</v>
      </c>
      <c r="D24" s="1" t="str">
        <f>IF(PATIENTS!C24="","",PATIENTS!D24)</f>
        <v>Ο</v>
      </c>
      <c r="E24" s="2" t="str">
        <f>IF(PATIENTS!C24="","",PATIENTS!E24)</f>
        <v>παρών</v>
      </c>
      <c r="F24" s="3" t="s">
        <v>39</v>
      </c>
      <c r="G24" s="3" t="s">
        <v>229</v>
      </c>
      <c r="H24" s="3" t="s">
        <v>54</v>
      </c>
      <c r="I24" s="4"/>
      <c r="J24" s="4"/>
      <c r="K24" s="4"/>
      <c r="L24" s="5"/>
      <c r="M24" s="5"/>
      <c r="N24" s="5"/>
      <c r="O24" s="5"/>
      <c r="P24" s="6"/>
      <c r="Q24" s="6"/>
      <c r="R24" s="7"/>
      <c r="S24" s="7"/>
      <c r="T24" s="4" t="s">
        <v>36</v>
      </c>
      <c r="U24" s="4" t="s">
        <v>31</v>
      </c>
      <c r="V24" s="2"/>
      <c r="W24" s="2"/>
    </row>
    <row r="25" spans="1:23" x14ac:dyDescent="0.3">
      <c r="A25" s="1">
        <f>IF(PATIENTS!C25="","",PATIENTS!A25)</f>
        <v>24</v>
      </c>
      <c r="B25" s="2" t="str">
        <f>IF(PATIENTS!C25="","",PATIENTS!B25)</f>
        <v>A08</v>
      </c>
      <c r="C25" s="2" t="str">
        <f>IF(PATIENTS!C25="","",PATIENTS!C25)</f>
        <v>ΦΙΛΙΠΠΗΣ</v>
      </c>
      <c r="D25" s="1" t="str">
        <f>IF(PATIENTS!C25="","",PATIENTS!D25)</f>
        <v>Ο</v>
      </c>
      <c r="E25" s="2" t="str">
        <f>IF(PATIENTS!C25="","",PATIENTS!E25)</f>
        <v>παρών</v>
      </c>
      <c r="F25" s="3" t="s">
        <v>44</v>
      </c>
      <c r="G25" s="3" t="s">
        <v>31</v>
      </c>
      <c r="H25" s="3" t="s">
        <v>56</v>
      </c>
      <c r="I25" s="4"/>
      <c r="J25" s="4"/>
      <c r="K25" s="4"/>
      <c r="L25" s="5"/>
      <c r="M25" s="5"/>
      <c r="N25" s="5"/>
      <c r="O25" s="5"/>
      <c r="P25" s="6"/>
      <c r="Q25" s="6"/>
      <c r="R25" s="7"/>
      <c r="S25" s="7"/>
      <c r="T25" s="4"/>
      <c r="U25" s="4"/>
      <c r="V25" s="2"/>
      <c r="W25" s="2"/>
    </row>
    <row r="26" spans="1:23" x14ac:dyDescent="0.3">
      <c r="A26" s="1">
        <f>IF(PATIENTS!C26="","",PATIENTS!A26)</f>
        <v>25</v>
      </c>
      <c r="B26" s="2" t="str">
        <f>IF(PATIENTS!C26="","",PATIENTS!B26)</f>
        <v>A09</v>
      </c>
      <c r="C26" s="2" t="str">
        <f>IF(PATIENTS!C26="","",PATIENTS!C26)</f>
        <v>ΚΟΥΓΙΟΣ</v>
      </c>
      <c r="D26" s="1" t="str">
        <f>IF(PATIENTS!C26="","",PATIENTS!D26)</f>
        <v>Ο</v>
      </c>
      <c r="E26" s="2" t="str">
        <f>IF(PATIENTS!C26="","",PATIENTS!E26)</f>
        <v>αναβολή ΦΘ</v>
      </c>
      <c r="F26" s="3"/>
      <c r="G26" s="3"/>
      <c r="H26" s="3"/>
      <c r="I26" s="4"/>
      <c r="J26" s="4"/>
      <c r="K26" s="4"/>
      <c r="L26" s="5"/>
      <c r="M26" s="5"/>
      <c r="N26" s="5"/>
      <c r="O26" s="5"/>
      <c r="P26" s="6"/>
      <c r="Q26" s="6"/>
      <c r="R26" s="7"/>
      <c r="S26" s="7"/>
      <c r="T26" s="4"/>
      <c r="U26" s="4"/>
      <c r="V26" s="2"/>
      <c r="W26" s="2"/>
    </row>
    <row r="27" spans="1:23" x14ac:dyDescent="0.3">
      <c r="A27" s="1">
        <f>IF(PATIENTS!C27="","",PATIENTS!A27)</f>
        <v>26</v>
      </c>
      <c r="B27" s="2" t="str">
        <f>IF(PATIENTS!C27="","",PATIENTS!B27)</f>
        <v>A09</v>
      </c>
      <c r="C27" s="2" t="str">
        <f>IF(PATIENTS!C27="","",PATIENTS!C27)</f>
        <v>ΧΑΣΙΚΟΣ</v>
      </c>
      <c r="D27" s="1" t="str">
        <f>IF(PATIENTS!C27="","",PATIENTS!D27)</f>
        <v>Ο</v>
      </c>
      <c r="E27" s="2" t="str">
        <f>IF(PATIENTS!C27="","",PATIENTS!E27)</f>
        <v>παρών</v>
      </c>
      <c r="F27" s="3" t="s">
        <v>39</v>
      </c>
      <c r="G27" s="3" t="s">
        <v>229</v>
      </c>
      <c r="H27" s="3" t="s">
        <v>53</v>
      </c>
      <c r="I27" s="4"/>
      <c r="J27" s="4"/>
      <c r="K27" s="4"/>
      <c r="L27" s="5"/>
      <c r="M27" s="5"/>
      <c r="N27" s="5"/>
      <c r="O27" s="5"/>
      <c r="P27" s="6" t="s">
        <v>37</v>
      </c>
      <c r="Q27" s="6" t="s">
        <v>33</v>
      </c>
      <c r="R27" s="7"/>
      <c r="S27" s="7"/>
      <c r="T27" s="4"/>
      <c r="U27" s="4"/>
      <c r="V27" s="2"/>
      <c r="W27" s="2"/>
    </row>
    <row r="28" spans="1:23" x14ac:dyDescent="0.3">
      <c r="A28" s="1">
        <f>IF(PATIENTS!C28="","",PATIENTS!A28)</f>
        <v>27</v>
      </c>
      <c r="B28" s="2" t="str">
        <f>IF(PATIENTS!C28="","",PATIENTS!B28)</f>
        <v>A09</v>
      </c>
      <c r="C28" s="2" t="str">
        <f>IF(PATIENTS!C28="","",PATIENTS!C28)</f>
        <v>ΧΑΤΖΗΧΡΗΣΤΟΣ</v>
      </c>
      <c r="D28" s="1" t="str">
        <f>IF(PATIENTS!C28="","",PATIENTS!D28)</f>
        <v>Ο</v>
      </c>
      <c r="E28" s="2" t="str">
        <f>IF(PATIENTS!C28="","",PATIENTS!E28)</f>
        <v>παρών</v>
      </c>
      <c r="F28" s="3" t="s">
        <v>30</v>
      </c>
      <c r="G28" s="3" t="s">
        <v>229</v>
      </c>
      <c r="H28" s="3" t="s">
        <v>55</v>
      </c>
      <c r="I28" s="4"/>
      <c r="J28" s="4"/>
      <c r="K28" s="4"/>
      <c r="L28" s="5"/>
      <c r="M28" s="5"/>
      <c r="N28" s="5"/>
      <c r="O28" s="5"/>
      <c r="P28" s="6" t="s">
        <v>42</v>
      </c>
      <c r="Q28" s="6" t="s">
        <v>31</v>
      </c>
      <c r="R28" s="7"/>
      <c r="S28" s="7"/>
      <c r="T28" s="4"/>
      <c r="U28" s="4"/>
      <c r="V28" s="2"/>
      <c r="W28" s="2"/>
    </row>
    <row r="29" spans="1:23" x14ac:dyDescent="0.3">
      <c r="A29" s="1">
        <f>IF(PATIENTS!C29="","",PATIENTS!A29)</f>
        <v>28</v>
      </c>
      <c r="B29" s="2" t="str">
        <f>IF(PATIENTS!C29="","",PATIENTS!B29)</f>
        <v>A10</v>
      </c>
      <c r="C29" s="2" t="str">
        <f>IF(PATIENTS!C29="","",PATIENTS!C29)</f>
        <v>ΖΑΧΑΡΙΑΔΟΥ</v>
      </c>
      <c r="D29" s="1" t="str">
        <f>IF(PATIENTS!C29="","",PATIENTS!D29)</f>
        <v>Ο</v>
      </c>
      <c r="E29" s="2" t="str">
        <f>IF(PATIENTS!C29="","",PATIENTS!E29)</f>
        <v>παρών</v>
      </c>
      <c r="F29" s="3" t="s">
        <v>42</v>
      </c>
      <c r="G29" s="3" t="s">
        <v>229</v>
      </c>
      <c r="H29" s="3" t="s">
        <v>40</v>
      </c>
      <c r="I29" s="4"/>
      <c r="J29" s="4"/>
      <c r="K29" s="4"/>
      <c r="L29" s="5"/>
      <c r="M29" s="5"/>
      <c r="N29" s="5"/>
      <c r="O29" s="5"/>
      <c r="P29" s="6" t="s">
        <v>37</v>
      </c>
      <c r="Q29" s="6" t="s">
        <v>31</v>
      </c>
      <c r="R29" s="7"/>
      <c r="S29" s="7"/>
      <c r="T29" s="4" t="s">
        <v>44</v>
      </c>
      <c r="U29" s="4" t="s">
        <v>35</v>
      </c>
      <c r="V29" s="2"/>
      <c r="W29" s="2"/>
    </row>
    <row r="30" spans="1:23" x14ac:dyDescent="0.3">
      <c r="A30" s="1">
        <f>IF(PATIENTS!C30="","",PATIENTS!A30)</f>
        <v>29</v>
      </c>
      <c r="B30" s="2" t="str">
        <f>IF(PATIENTS!C30="","",PATIENTS!B30)</f>
        <v>A10</v>
      </c>
      <c r="C30" s="2" t="str">
        <f>IF(PATIENTS!C30="","",PATIENTS!C30)</f>
        <v>ΣΥΜΕΩΝΙΔΗ</v>
      </c>
      <c r="D30" s="1" t="str">
        <f>IF(PATIENTS!C30="","",PATIENTS!D30)</f>
        <v>Ο</v>
      </c>
      <c r="E30" s="2" t="str">
        <f>IF(PATIENTS!C30="","",PATIENTS!E30)</f>
        <v>παρών</v>
      </c>
      <c r="F30" s="3" t="s">
        <v>42</v>
      </c>
      <c r="G30" s="3" t="s">
        <v>229</v>
      </c>
      <c r="H30" s="3" t="s">
        <v>32</v>
      </c>
      <c r="I30" s="42" t="s">
        <v>44</v>
      </c>
      <c r="J30" s="4" t="s">
        <v>33</v>
      </c>
      <c r="K30" s="43" t="s">
        <v>49</v>
      </c>
      <c r="L30" s="5"/>
      <c r="M30" s="5"/>
      <c r="N30" s="5"/>
      <c r="O30" s="5"/>
      <c r="P30" s="6" t="s">
        <v>37</v>
      </c>
      <c r="Q30" s="6"/>
      <c r="R30" s="7"/>
      <c r="S30" s="7"/>
      <c r="T30" s="4" t="s">
        <v>36</v>
      </c>
      <c r="U30" s="4" t="s">
        <v>50</v>
      </c>
      <c r="V30" s="2"/>
      <c r="W30" s="2"/>
    </row>
    <row r="31" spans="1:23" x14ac:dyDescent="0.3">
      <c r="A31" s="1">
        <f>IF(PATIENTS!C31="","",PATIENTS!A31)</f>
        <v>30</v>
      </c>
      <c r="B31" s="2" t="str">
        <f>IF(PATIENTS!C31="","",PATIENTS!B31)</f>
        <v>A10</v>
      </c>
      <c r="C31" s="2" t="str">
        <f>IF(PATIENTS!C31="","",PATIENTS!C31)</f>
        <v>ΧΡΙΣΤΟΔΟΥΛΟΥ ΟΛ</v>
      </c>
      <c r="D31" s="1" t="str">
        <f>IF(PATIENTS!C31="","",PATIENTS!D31)</f>
        <v>Ο</v>
      </c>
      <c r="E31" s="2" t="str">
        <f>IF(PATIENTS!C31="","",PATIENTS!E31)</f>
        <v>παρών</v>
      </c>
      <c r="F31" s="3" t="s">
        <v>30</v>
      </c>
      <c r="G31" s="3" t="s">
        <v>31</v>
      </c>
      <c r="H31" s="3" t="s">
        <v>46</v>
      </c>
      <c r="I31" s="4"/>
      <c r="J31" s="4"/>
      <c r="K31" s="4"/>
      <c r="L31" s="5"/>
      <c r="M31" s="5"/>
      <c r="N31" s="5"/>
      <c r="O31" s="5"/>
      <c r="P31" s="6" t="s">
        <v>37</v>
      </c>
      <c r="Q31" s="6" t="s">
        <v>31</v>
      </c>
      <c r="R31" s="7"/>
      <c r="S31" s="7"/>
      <c r="T31" s="4"/>
      <c r="U31" s="4"/>
      <c r="V31" s="2"/>
      <c r="W31" s="2"/>
    </row>
    <row r="32" spans="1:23" x14ac:dyDescent="0.3">
      <c r="A32" s="1">
        <f>IF(PATIENTS!C32="","",PATIENTS!A32)</f>
        <v>31</v>
      </c>
      <c r="B32" s="2" t="str">
        <f>IF(PATIENTS!C32="","",PATIENTS!B32)</f>
        <v>A11</v>
      </c>
      <c r="C32" s="2" t="str">
        <f>IF(PATIENTS!C32="","",PATIENTS!C32)</f>
        <v>ΓΚΟΥΖΟΣ</v>
      </c>
      <c r="D32" s="1" t="str">
        <f>IF(PATIENTS!C32="","",PATIENTS!D32)</f>
        <v>Ο</v>
      </c>
      <c r="E32" s="2" t="str">
        <f>IF(PATIENTS!C32="","",PATIENTS!E32)</f>
        <v>παρών</v>
      </c>
      <c r="F32" s="42" t="s">
        <v>36</v>
      </c>
      <c r="G32" s="3" t="s">
        <v>229</v>
      </c>
      <c r="H32" s="43" t="s">
        <v>49</v>
      </c>
      <c r="I32" s="4"/>
      <c r="J32" s="4"/>
      <c r="K32" s="4"/>
      <c r="L32" s="5"/>
      <c r="M32" s="5"/>
      <c r="N32" s="5"/>
      <c r="O32" s="5"/>
      <c r="P32" s="6" t="s">
        <v>39</v>
      </c>
      <c r="Q32" s="6"/>
      <c r="R32" s="7"/>
      <c r="S32" s="7"/>
      <c r="T32" s="4" t="s">
        <v>44</v>
      </c>
      <c r="U32" s="4" t="s">
        <v>48</v>
      </c>
      <c r="V32" s="2"/>
      <c r="W32" s="2"/>
    </row>
    <row r="33" spans="1:23" x14ac:dyDescent="0.3">
      <c r="A33" s="1">
        <f>IF(PATIENTS!C33="","",PATIENTS!A33)</f>
        <v>32</v>
      </c>
      <c r="B33" s="2" t="str">
        <f>IF(PATIENTS!C33="","",PATIENTS!B33)</f>
        <v>A11</v>
      </c>
      <c r="C33" s="2" t="str">
        <f>IF(PATIENTS!C33="","",PATIENTS!C33)</f>
        <v>ΟΛΥΜΠΙΟΣ</v>
      </c>
      <c r="D33" s="1" t="str">
        <f>IF(PATIENTS!C33="","",PATIENTS!D33)</f>
        <v>Ο</v>
      </c>
      <c r="E33" s="2" t="str">
        <f>IF(PATIENTS!C33="","",PATIENTS!E33)</f>
        <v>παρών</v>
      </c>
      <c r="F33" s="3" t="s">
        <v>37</v>
      </c>
      <c r="G33" s="3" t="s">
        <v>229</v>
      </c>
      <c r="H33" s="3" t="s">
        <v>57</v>
      </c>
      <c r="I33" s="4"/>
      <c r="J33" s="4"/>
      <c r="K33" s="4"/>
      <c r="L33" s="5"/>
      <c r="M33" s="5"/>
      <c r="N33" s="5"/>
      <c r="O33" s="5"/>
      <c r="P33" s="6" t="s">
        <v>42</v>
      </c>
      <c r="Q33" s="6" t="s">
        <v>35</v>
      </c>
      <c r="R33" s="7"/>
      <c r="S33" s="7"/>
      <c r="T33" s="4"/>
      <c r="U33" s="4"/>
      <c r="V33" s="2"/>
      <c r="W33" s="2"/>
    </row>
    <row r="34" spans="1:23" x14ac:dyDescent="0.3">
      <c r="A34" s="1">
        <f>IF(PATIENTS!C34="","",PATIENTS!A34)</f>
        <v>33</v>
      </c>
      <c r="B34" s="2" t="str">
        <f>IF(PATIENTS!C34="","",PATIENTS!B34)</f>
        <v>A12</v>
      </c>
      <c r="C34" s="2" t="str">
        <f>IF(PATIENTS!C34="","",PATIENTS!C34)</f>
        <v>ΛΑΝΑΡΑΣ</v>
      </c>
      <c r="D34" s="1" t="str">
        <f>IF(PATIENTS!C34="","",PATIENTS!D34)</f>
        <v>Ο</v>
      </c>
      <c r="E34" s="2" t="str">
        <f>IF(PATIENTS!C34="","",PATIENTS!E34)</f>
        <v>παρών</v>
      </c>
      <c r="F34" s="3" t="s">
        <v>39</v>
      </c>
      <c r="G34" s="3" t="s">
        <v>229</v>
      </c>
      <c r="H34" s="3" t="s">
        <v>46</v>
      </c>
      <c r="I34" s="4"/>
      <c r="J34" s="4"/>
      <c r="K34" s="4"/>
      <c r="L34" s="5"/>
      <c r="M34" s="5"/>
      <c r="N34" s="5"/>
      <c r="O34" s="5"/>
      <c r="P34" s="6" t="s">
        <v>39</v>
      </c>
      <c r="Q34" s="6" t="s">
        <v>31</v>
      </c>
      <c r="R34" s="7"/>
      <c r="S34" s="7"/>
      <c r="T34" s="4"/>
      <c r="U34" s="4"/>
      <c r="V34" s="2"/>
      <c r="W34" s="2"/>
    </row>
    <row r="35" spans="1:23" x14ac:dyDescent="0.3">
      <c r="A35" s="1" t="str">
        <f>IF(PATIENTS!C35="","",PATIENTS!A35)</f>
        <v/>
      </c>
      <c r="B35" s="2" t="str">
        <f>IF(PATIENTS!C35="","",PATIENTS!B35)</f>
        <v/>
      </c>
      <c r="C35" s="2" t="str">
        <f>IF(PATIENTS!C35="","",PATIENTS!C35)</f>
        <v/>
      </c>
      <c r="D35" s="1" t="str">
        <f>IF(PATIENTS!C35="","",PATIENTS!D35)</f>
        <v/>
      </c>
      <c r="E35" s="2" t="str">
        <f>IF(PATIENTS!C35="","",PATIENTS!E35)</f>
        <v/>
      </c>
      <c r="F35" s="3"/>
      <c r="G35" s="3"/>
      <c r="H35" s="3"/>
      <c r="I35" s="4"/>
      <c r="J35" s="4"/>
      <c r="K35" s="4"/>
      <c r="L35" s="5"/>
      <c r="M35" s="5"/>
      <c r="N35" s="5"/>
      <c r="O35" s="5"/>
      <c r="P35" s="6"/>
      <c r="Q35" s="6"/>
      <c r="R35" s="7"/>
      <c r="S35" s="7"/>
      <c r="T35" s="4"/>
      <c r="U35" s="4"/>
      <c r="V35" s="2"/>
      <c r="W35" s="2"/>
    </row>
    <row r="36" spans="1:23" x14ac:dyDescent="0.3">
      <c r="A36" s="1">
        <f>IF(PATIENTS!C36="","",PATIENTS!A36)</f>
        <v>35</v>
      </c>
      <c r="B36" s="2" t="str">
        <f>IF(PATIENTS!C36="","",PATIENTS!B36)</f>
        <v>A14</v>
      </c>
      <c r="C36" s="2" t="str">
        <f>IF(PATIENTS!C36="","",PATIENTS!C36)</f>
        <v>ΚΑΡΑΠΟΥΛΙΟΣ</v>
      </c>
      <c r="D36" s="1" t="str">
        <f>IF(PATIENTS!C36="","",PATIENTS!D36)</f>
        <v>Ο</v>
      </c>
      <c r="E36" s="2" t="str">
        <f>IF(PATIENTS!C36="","",PATIENTS!E36)</f>
        <v>παρών</v>
      </c>
      <c r="F36" s="3" t="s">
        <v>39</v>
      </c>
      <c r="G36" s="3" t="s">
        <v>33</v>
      </c>
      <c r="H36" s="3" t="s">
        <v>45</v>
      </c>
      <c r="I36" s="4"/>
      <c r="J36" s="4"/>
      <c r="K36" s="4"/>
      <c r="L36" s="5" t="s">
        <v>60</v>
      </c>
      <c r="M36" s="5" t="s">
        <v>35</v>
      </c>
      <c r="N36" s="5"/>
      <c r="O36" s="5"/>
      <c r="P36" s="6" t="s">
        <v>37</v>
      </c>
      <c r="Q36" s="6"/>
      <c r="R36" s="7"/>
      <c r="S36" s="7"/>
      <c r="T36" s="4" t="s">
        <v>30</v>
      </c>
      <c r="U36" s="4" t="s">
        <v>61</v>
      </c>
      <c r="V36" s="2"/>
      <c r="W36" s="2"/>
    </row>
    <row r="37" spans="1:23" x14ac:dyDescent="0.3">
      <c r="A37" s="1">
        <f>IF(PATIENTS!C37="","",PATIENTS!A37)</f>
        <v>36</v>
      </c>
      <c r="B37" s="2" t="str">
        <f>IF(PATIENTS!C37="","",PATIENTS!B37)</f>
        <v>A14</v>
      </c>
      <c r="C37" s="2" t="str">
        <f>IF(PATIENTS!C37="","",PATIENTS!C37)</f>
        <v>ΜΩΡΑΙΤΗΣ</v>
      </c>
      <c r="D37" s="1" t="str">
        <f>IF(PATIENTS!C37="","",PATIENTS!D37)</f>
        <v>Ο</v>
      </c>
      <c r="E37" s="2" t="str">
        <f>IF(PATIENTS!C37="","",PATIENTS!E37)</f>
        <v>παρών</v>
      </c>
      <c r="F37" s="3" t="s">
        <v>39</v>
      </c>
      <c r="G37" s="3" t="s">
        <v>229</v>
      </c>
      <c r="H37" s="3" t="s">
        <v>57</v>
      </c>
      <c r="I37" s="4"/>
      <c r="J37" s="4"/>
      <c r="K37" s="4"/>
      <c r="L37" s="5"/>
      <c r="M37" s="5"/>
      <c r="N37" s="5"/>
      <c r="O37" s="5"/>
      <c r="P37" s="6" t="s">
        <v>44</v>
      </c>
      <c r="Q37" s="6"/>
      <c r="R37" s="7"/>
      <c r="S37" s="7"/>
      <c r="T37" s="4"/>
      <c r="U37" s="4"/>
      <c r="V37" s="2"/>
      <c r="W37" s="2"/>
    </row>
    <row r="38" spans="1:23" x14ac:dyDescent="0.3">
      <c r="A38" s="1">
        <f>IF(PATIENTS!C38="","",PATIENTS!A38)</f>
        <v>37</v>
      </c>
      <c r="B38" s="2" t="str">
        <f>IF(PATIENTS!C38="","",PATIENTS!B38)</f>
        <v>A14</v>
      </c>
      <c r="C38" s="2" t="str">
        <f>IF(PATIENTS!C38="","",PATIENTS!C38)</f>
        <v>ΧΑΙΡΕΤΗΣ</v>
      </c>
      <c r="D38" s="1" t="str">
        <f>IF(PATIENTS!C38="","",PATIENTS!D38)</f>
        <v>Ο</v>
      </c>
      <c r="E38" s="2" t="str">
        <f>IF(PATIENTS!C38="","",PATIENTS!E38)</f>
        <v>παρών</v>
      </c>
      <c r="F38" s="3" t="s">
        <v>44</v>
      </c>
      <c r="G38" s="3" t="s">
        <v>229</v>
      </c>
      <c r="H38" s="3" t="s">
        <v>40</v>
      </c>
      <c r="I38" s="4"/>
      <c r="J38" s="4"/>
      <c r="K38" s="4"/>
      <c r="L38" s="5" t="s">
        <v>60</v>
      </c>
      <c r="M38" s="5" t="s">
        <v>35</v>
      </c>
      <c r="N38" s="5"/>
      <c r="O38" s="5"/>
      <c r="P38" s="6" t="s">
        <v>36</v>
      </c>
      <c r="Q38" s="6"/>
      <c r="R38" s="7"/>
      <c r="S38" s="7"/>
      <c r="T38" s="4"/>
      <c r="U38" s="4"/>
      <c r="V38" s="2"/>
      <c r="W38" s="2"/>
    </row>
    <row r="39" spans="1:23" x14ac:dyDescent="0.3">
      <c r="A39" s="1">
        <f>IF(PATIENTS!C39="","",PATIENTS!A39)</f>
        <v>38</v>
      </c>
      <c r="B39" s="2" t="str">
        <f>IF(PATIENTS!C39="","",PATIENTS!B39)</f>
        <v>A15</v>
      </c>
      <c r="C39" s="2" t="str">
        <f>IF(PATIENTS!C39="","",PATIENTS!C39)</f>
        <v>ΓΕΡΜΑΝΗΣ</v>
      </c>
      <c r="D39" s="1" t="str">
        <f>IF(PATIENTS!C39="","",PATIENTS!D39)</f>
        <v>Ο</v>
      </c>
      <c r="E39" s="2" t="str">
        <f>IF(PATIENTS!C39="","",PATIENTS!E39)</f>
        <v>παρών</v>
      </c>
      <c r="F39" s="3" t="s">
        <v>42</v>
      </c>
      <c r="G39" s="3" t="s">
        <v>229</v>
      </c>
      <c r="H39" s="3" t="s">
        <v>43</v>
      </c>
      <c r="I39" s="4"/>
      <c r="J39" s="4"/>
      <c r="K39" s="4"/>
      <c r="L39" s="5"/>
      <c r="M39" s="5"/>
      <c r="N39" s="5"/>
      <c r="O39" s="5"/>
      <c r="P39" s="6" t="s">
        <v>36</v>
      </c>
      <c r="Q39" s="6"/>
      <c r="R39" s="7"/>
      <c r="S39" s="7"/>
      <c r="T39" s="4"/>
      <c r="U39" s="4"/>
      <c r="V39" s="2"/>
      <c r="W39" s="2"/>
    </row>
    <row r="40" spans="1:23" x14ac:dyDescent="0.3">
      <c r="A40" s="1">
        <f>IF(PATIENTS!C40="","",PATIENTS!A40)</f>
        <v>39</v>
      </c>
      <c r="B40" s="2" t="str">
        <f>IF(PATIENTS!C40="","",PATIENTS!B40)</f>
        <v>B01</v>
      </c>
      <c r="C40" s="2" t="str">
        <f>IF(PATIENTS!C40="","",PATIENTS!C40)</f>
        <v>ΑΥΓΕΡΙΝΟΣ</v>
      </c>
      <c r="D40" s="1" t="str">
        <f>IF(PATIENTS!C40="","",PATIENTS!D40)</f>
        <v>Ο</v>
      </c>
      <c r="E40" s="2" t="str">
        <f>IF(PATIENTS!C40="","",PATIENTS!E40)</f>
        <v>διακομισμένος</v>
      </c>
      <c r="F40" s="3"/>
      <c r="G40" s="3"/>
      <c r="H40" s="3"/>
      <c r="I40" s="4"/>
      <c r="J40" s="4"/>
      <c r="K40" s="4"/>
      <c r="L40" s="5"/>
      <c r="M40" s="5"/>
      <c r="N40" s="5"/>
      <c r="O40" s="5"/>
      <c r="P40" s="6" t="s">
        <v>36</v>
      </c>
      <c r="Q40" s="6" t="s">
        <v>33</v>
      </c>
      <c r="R40" s="7" t="s">
        <v>42</v>
      </c>
      <c r="S40" s="7" t="s">
        <v>63</v>
      </c>
      <c r="T40" s="4"/>
      <c r="U40" s="4"/>
      <c r="V40" s="2"/>
      <c r="W40" s="2"/>
    </row>
    <row r="41" spans="1:23" x14ac:dyDescent="0.3">
      <c r="A41" s="1">
        <f>IF(PATIENTS!C41="","",PATIENTS!A41)</f>
        <v>40</v>
      </c>
      <c r="B41" s="2" t="str">
        <f>IF(PATIENTS!C41="","",PATIENTS!B41)</f>
        <v>B09</v>
      </c>
      <c r="C41" s="2" t="str">
        <f>IF(PATIENTS!C41="","",PATIENTS!C41)</f>
        <v>ΒΑΣΙΛΕΙΑΔΗΣ</v>
      </c>
      <c r="D41" s="1" t="str">
        <f>IF(PATIENTS!C41="","",PATIENTS!D41)</f>
        <v>Ν</v>
      </c>
      <c r="E41" s="2" t="str">
        <f>IF(PATIENTS!C41="","",PATIENTS!E41)</f>
        <v>παρών</v>
      </c>
      <c r="F41" s="3" t="s">
        <v>44</v>
      </c>
      <c r="G41" s="3" t="s">
        <v>229</v>
      </c>
      <c r="H41" s="3" t="s">
        <v>53</v>
      </c>
      <c r="I41" s="4"/>
      <c r="J41" s="4"/>
      <c r="K41" s="4"/>
      <c r="L41" s="5"/>
      <c r="M41" s="5"/>
      <c r="N41" s="5"/>
      <c r="O41" s="5"/>
      <c r="P41" s="6"/>
      <c r="Q41" s="6"/>
      <c r="R41" s="7"/>
      <c r="S41" s="7"/>
      <c r="T41" s="4"/>
      <c r="U41" s="4"/>
      <c r="V41" s="2"/>
      <c r="W41" s="2"/>
    </row>
    <row r="42" spans="1:23" ht="17.399999999999999" customHeight="1" x14ac:dyDescent="0.3">
      <c r="A42" s="1">
        <f>IF(PATIENTS!C42="","",PATIENTS!A42)</f>
        <v>41</v>
      </c>
      <c r="B42" s="2" t="str">
        <f>IF(PATIENTS!C42="","",PATIENTS!B42)</f>
        <v>B02</v>
      </c>
      <c r="C42" s="2" t="str">
        <f>IF(PATIENTS!C42="","",PATIENTS!C42)</f>
        <v>ΑΠΟΣΤΟΛΟΠΟΥΛΟΥ ΑΘΗ</v>
      </c>
      <c r="D42" s="1" t="str">
        <f>IF(PATIENTS!C42="","",PATIENTS!D42)</f>
        <v>Ο</v>
      </c>
      <c r="E42" s="2" t="str">
        <f>IF(PATIENTS!C42="","",PATIENTS!E42)</f>
        <v>παρών</v>
      </c>
      <c r="F42" s="3" t="s">
        <v>37</v>
      </c>
      <c r="G42" s="3" t="s">
        <v>31</v>
      </c>
      <c r="H42" s="3" t="s">
        <v>54</v>
      </c>
      <c r="I42" s="4"/>
      <c r="J42" s="4"/>
      <c r="K42" s="4"/>
      <c r="L42" s="5"/>
      <c r="M42" s="5"/>
      <c r="N42" s="5"/>
      <c r="O42" s="5"/>
      <c r="P42" s="6" t="s">
        <v>42</v>
      </c>
      <c r="Q42" s="6" t="s">
        <v>33</v>
      </c>
      <c r="R42" s="7"/>
      <c r="S42" s="7"/>
      <c r="T42" s="4"/>
      <c r="U42" s="4"/>
      <c r="V42" s="2"/>
      <c r="W42" s="2"/>
    </row>
    <row r="43" spans="1:23" x14ac:dyDescent="0.3">
      <c r="A43" s="1">
        <f>IF(PATIENTS!C43="","",PATIENTS!A43)</f>
        <v>42</v>
      </c>
      <c r="B43" s="2" t="str">
        <f>IF(PATIENTS!C43="","",PATIENTS!B43)</f>
        <v>B02</v>
      </c>
      <c r="C43" s="2" t="str">
        <f>IF(PATIENTS!C43="","",PATIENTS!C43)</f>
        <v>ΒΑΛΛΙΑΝΟΥ</v>
      </c>
      <c r="D43" s="1" t="str">
        <f>IF(PATIENTS!C43="","",PATIENTS!D43)</f>
        <v>Ο</v>
      </c>
      <c r="E43" s="2" t="str">
        <f>IF(PATIENTS!C43="","",PATIENTS!E43)</f>
        <v>παρών</v>
      </c>
      <c r="F43" s="3" t="s">
        <v>39</v>
      </c>
      <c r="G43" s="3" t="s">
        <v>229</v>
      </c>
      <c r="H43" s="3" t="s">
        <v>41</v>
      </c>
      <c r="I43" s="4"/>
      <c r="J43" s="4"/>
      <c r="K43" s="4"/>
      <c r="L43" s="5"/>
      <c r="M43" s="5"/>
      <c r="N43" s="5"/>
      <c r="O43" s="5"/>
      <c r="P43" s="6" t="s">
        <v>36</v>
      </c>
      <c r="Q43" s="6" t="s">
        <v>64</v>
      </c>
      <c r="R43" s="7"/>
      <c r="S43" s="7"/>
      <c r="T43" s="4"/>
      <c r="U43" s="4"/>
      <c r="V43" s="2"/>
      <c r="W43" s="2"/>
    </row>
    <row r="44" spans="1:23" x14ac:dyDescent="0.3">
      <c r="A44" s="1">
        <f>IF(PATIENTS!C44="","",PATIENTS!A44)</f>
        <v>43</v>
      </c>
      <c r="B44" s="2" t="str">
        <f>IF(PATIENTS!C44="","",PATIENTS!B44)</f>
        <v>B02</v>
      </c>
      <c r="C44" s="2" t="str">
        <f>IF(PATIENTS!C44="","",PATIENTS!C44)</f>
        <v>ΚΟΥΡΤΣΟΠΟΥΛΟΥ</v>
      </c>
      <c r="D44" s="1" t="str">
        <f>IF(PATIENTS!C44="","",PATIENTS!D44)</f>
        <v>Ο</v>
      </c>
      <c r="E44" s="2" t="str">
        <f>IF(PATIENTS!C44="","",PATIENTS!E44)</f>
        <v>παρών</v>
      </c>
      <c r="F44" s="3" t="s">
        <v>44</v>
      </c>
      <c r="G44" s="3" t="s">
        <v>33</v>
      </c>
      <c r="H44" s="3" t="s">
        <v>56</v>
      </c>
      <c r="I44" s="4"/>
      <c r="J44" s="4"/>
      <c r="K44" s="4"/>
      <c r="L44" s="5" t="s">
        <v>65</v>
      </c>
      <c r="M44" s="5" t="s">
        <v>35</v>
      </c>
      <c r="N44" s="5"/>
      <c r="O44" s="5"/>
      <c r="P44" s="6"/>
      <c r="Q44" s="6"/>
      <c r="R44" s="7"/>
      <c r="S44" s="7"/>
      <c r="T44" s="4"/>
      <c r="U44" s="4"/>
      <c r="V44" s="2"/>
      <c r="W44" s="2"/>
    </row>
    <row r="45" spans="1:23" x14ac:dyDescent="0.3">
      <c r="A45" s="1">
        <f>IF(PATIENTS!C45="","",PATIENTS!A45)</f>
        <v>44</v>
      </c>
      <c r="B45" s="2" t="str">
        <f>IF(PATIENTS!C45="","",PATIENTS!B45)</f>
        <v>B02</v>
      </c>
      <c r="C45" s="2" t="str">
        <f>IF(PATIENTS!C45="","",PATIENTS!C45)</f>
        <v>ΜΑΡΩΤΗ Ε</v>
      </c>
      <c r="D45" s="1" t="str">
        <f>IF(PATIENTS!C45="","",PATIENTS!D45)</f>
        <v>Ο</v>
      </c>
      <c r="E45" s="2" t="str">
        <f>IF(PATIENTS!C45="","",PATIENTS!E45)</f>
        <v>παρών</v>
      </c>
      <c r="F45" s="3" t="s">
        <v>42</v>
      </c>
      <c r="G45" s="3" t="s">
        <v>229</v>
      </c>
      <c r="H45" s="3" t="s">
        <v>53</v>
      </c>
      <c r="I45" s="4"/>
      <c r="J45" s="4"/>
      <c r="K45" s="4"/>
      <c r="L45" s="5"/>
      <c r="M45" s="5"/>
      <c r="N45" s="5"/>
      <c r="O45" s="5"/>
      <c r="P45" s="6" t="s">
        <v>44</v>
      </c>
      <c r="Q45" s="6" t="s">
        <v>66</v>
      </c>
      <c r="R45" s="7" t="s">
        <v>37</v>
      </c>
      <c r="S45" s="7"/>
      <c r="T45" s="4"/>
      <c r="U45" s="4"/>
      <c r="V45" s="2"/>
      <c r="W45" s="2"/>
    </row>
    <row r="46" spans="1:23" x14ac:dyDescent="0.3">
      <c r="A46" s="1">
        <f>IF(PATIENTS!C46="","",PATIENTS!A46)</f>
        <v>45</v>
      </c>
      <c r="B46" s="2" t="str">
        <f>IF(PATIENTS!C46="","",PATIENTS!B46)</f>
        <v>B03</v>
      </c>
      <c r="C46" s="2" t="str">
        <f>IF(PATIENTS!C46="","",PATIENTS!C46)</f>
        <v>ΖΕΚΗ</v>
      </c>
      <c r="D46" s="1" t="str">
        <f>IF(PATIENTS!C46="","",PATIENTS!D46)</f>
        <v>Ο</v>
      </c>
      <c r="E46" s="2" t="str">
        <f>IF(PATIENTS!C46="","",PATIENTS!E46)</f>
        <v>παρών</v>
      </c>
      <c r="F46" s="3" t="s">
        <v>36</v>
      </c>
      <c r="G46" s="3" t="s">
        <v>229</v>
      </c>
      <c r="H46" s="3" t="s">
        <v>40</v>
      </c>
      <c r="I46" s="4"/>
      <c r="J46" s="4"/>
      <c r="K46" s="4"/>
      <c r="L46" s="5"/>
      <c r="M46" s="5"/>
      <c r="N46" s="5"/>
      <c r="O46" s="5"/>
      <c r="P46" s="6" t="s">
        <v>39</v>
      </c>
      <c r="Q46" s="6"/>
      <c r="R46" s="7" t="s">
        <v>44</v>
      </c>
      <c r="S46" s="7" t="s">
        <v>67</v>
      </c>
      <c r="T46" s="4"/>
      <c r="U46" s="4"/>
      <c r="V46" s="2"/>
      <c r="W46" s="2"/>
    </row>
    <row r="47" spans="1:23" x14ac:dyDescent="0.3">
      <c r="A47" s="1">
        <f>IF(PATIENTS!C47="","",PATIENTS!A47)</f>
        <v>46</v>
      </c>
      <c r="B47" s="2" t="str">
        <f>IF(PATIENTS!C47="","",PATIENTS!B47)</f>
        <v>B03</v>
      </c>
      <c r="C47" s="2" t="str">
        <f>IF(PATIENTS!C47="","",PATIENTS!C47)</f>
        <v>ΠΑΠΑΝΑΓΙΩΤΟΥ</v>
      </c>
      <c r="D47" s="1" t="str">
        <f>IF(PATIENTS!C47="","",PATIENTS!D47)</f>
        <v>Ο</v>
      </c>
      <c r="E47" s="2" t="str">
        <f>IF(PATIENTS!C47="","",PATIENTS!E47)</f>
        <v>παρών</v>
      </c>
      <c r="F47" s="3" t="s">
        <v>36</v>
      </c>
      <c r="G47" s="3" t="s">
        <v>33</v>
      </c>
      <c r="H47" s="3" t="s">
        <v>56</v>
      </c>
      <c r="I47" s="4"/>
      <c r="J47" s="4"/>
      <c r="K47" s="4"/>
      <c r="L47" s="5"/>
      <c r="M47" s="5"/>
      <c r="N47" s="5"/>
      <c r="O47" s="5"/>
      <c r="P47" s="6" t="s">
        <v>36</v>
      </c>
      <c r="Q47" s="6" t="s">
        <v>31</v>
      </c>
      <c r="R47" s="7"/>
      <c r="S47" s="7"/>
      <c r="T47" s="4"/>
      <c r="U47" s="4"/>
      <c r="V47" s="2"/>
      <c r="W47" s="2"/>
    </row>
    <row r="48" spans="1:23" x14ac:dyDescent="0.3">
      <c r="A48" s="1">
        <f>IF(PATIENTS!C48="","",PATIENTS!A48)</f>
        <v>47</v>
      </c>
      <c r="B48" s="2" t="str">
        <f>IF(PATIENTS!C48="","",PATIENTS!B48)</f>
        <v>B03</v>
      </c>
      <c r="C48" s="2" t="str">
        <f>IF(PATIENTS!C48="","",PATIENTS!C48)</f>
        <v>ΣΩΤΗΡΙΟΥ ΣΩΤ</v>
      </c>
      <c r="D48" s="1" t="str">
        <f>IF(PATIENTS!C48="","",PATIENTS!D48)</f>
        <v>Ο</v>
      </c>
      <c r="E48" s="2" t="str">
        <f>IF(PATIENTS!C48="","",PATIENTS!E48)</f>
        <v>παρών</v>
      </c>
      <c r="F48" s="3" t="s">
        <v>30</v>
      </c>
      <c r="G48" s="3" t="s">
        <v>229</v>
      </c>
      <c r="H48" s="3" t="s">
        <v>47</v>
      </c>
      <c r="I48" s="4"/>
      <c r="J48" s="4"/>
      <c r="K48" s="4"/>
      <c r="L48" s="5"/>
      <c r="M48" s="5"/>
      <c r="N48" s="5"/>
      <c r="O48" s="5"/>
      <c r="P48" s="6" t="s">
        <v>42</v>
      </c>
      <c r="Q48" s="6" t="s">
        <v>68</v>
      </c>
      <c r="R48" s="7" t="s">
        <v>42</v>
      </c>
      <c r="S48" s="7" t="s">
        <v>69</v>
      </c>
      <c r="T48" s="4"/>
      <c r="U48" s="4"/>
      <c r="V48" s="2"/>
      <c r="W48" s="2"/>
    </row>
    <row r="49" spans="1:23" x14ac:dyDescent="0.3">
      <c r="A49" s="1">
        <f>IF(PATIENTS!C49="","",PATIENTS!A49)</f>
        <v>48</v>
      </c>
      <c r="B49" s="2" t="str">
        <f>IF(PATIENTS!C49="","",PATIENTS!B49)</f>
        <v>B04</v>
      </c>
      <c r="C49" s="2" t="str">
        <f>IF(PATIENTS!C49="","",PATIENTS!C49)</f>
        <v>KOCANINI</v>
      </c>
      <c r="D49" s="1" t="str">
        <f>IF(PATIENTS!C49="","",PATIENTS!D49)</f>
        <v>Ο</v>
      </c>
      <c r="E49" s="2" t="str">
        <f>IF(PATIENTS!C49="","",PATIENTS!E49)</f>
        <v>παρών</v>
      </c>
      <c r="F49" s="3" t="s">
        <v>42</v>
      </c>
      <c r="G49" s="3" t="s">
        <v>229</v>
      </c>
      <c r="H49" s="3" t="s">
        <v>54</v>
      </c>
      <c r="I49" s="4"/>
      <c r="J49" s="4"/>
      <c r="K49" s="4"/>
      <c r="L49" s="5"/>
      <c r="M49" s="5"/>
      <c r="N49" s="5"/>
      <c r="O49" s="5"/>
      <c r="P49" s="6" t="s">
        <v>37</v>
      </c>
      <c r="Q49" s="6"/>
      <c r="R49" s="7" t="s">
        <v>39</v>
      </c>
      <c r="S49" s="7" t="s">
        <v>70</v>
      </c>
      <c r="T49" s="4"/>
      <c r="U49" s="4"/>
      <c r="V49" s="2"/>
      <c r="W49" s="2"/>
    </row>
    <row r="50" spans="1:23" x14ac:dyDescent="0.3">
      <c r="A50" s="1">
        <f>IF(PATIENTS!C50="","",PATIENTS!A50)</f>
        <v>49</v>
      </c>
      <c r="B50" s="2" t="str">
        <f>IF(PATIENTS!C50="","",PATIENTS!B50)</f>
        <v>B04</v>
      </c>
      <c r="C50" s="2" t="str">
        <f>IF(PATIENTS!C50="","",PATIENTS!C50)</f>
        <v>ΜΑΚΡΙΔΑΚΗΣ</v>
      </c>
      <c r="D50" s="1" t="str">
        <f>IF(PATIENTS!C50="","",PATIENTS!D50)</f>
        <v>Ο</v>
      </c>
      <c r="E50" s="2" t="str">
        <f>IF(PATIENTS!C50="","",PATIENTS!E50)</f>
        <v>παρών</v>
      </c>
      <c r="F50" s="3" t="s">
        <v>37</v>
      </c>
      <c r="G50" s="3" t="s">
        <v>229</v>
      </c>
      <c r="H50" s="3" t="s">
        <v>56</v>
      </c>
      <c r="I50" s="4" t="s">
        <v>44</v>
      </c>
      <c r="J50" s="4" t="s">
        <v>31</v>
      </c>
      <c r="K50" s="4" t="s">
        <v>52</v>
      </c>
      <c r="L50" s="5" t="s">
        <v>42</v>
      </c>
      <c r="M50" s="5" t="s">
        <v>35</v>
      </c>
      <c r="N50" s="5"/>
      <c r="O50" s="5"/>
      <c r="P50" s="6" t="s">
        <v>36</v>
      </c>
      <c r="Q50" s="6" t="s">
        <v>31</v>
      </c>
      <c r="R50" s="7"/>
      <c r="S50" s="7"/>
      <c r="T50" s="4"/>
      <c r="U50" s="4"/>
      <c r="V50" s="2"/>
      <c r="W50" s="2"/>
    </row>
    <row r="51" spans="1:23" x14ac:dyDescent="0.3">
      <c r="A51" s="1">
        <f>IF(PATIENTS!C51="","",PATIENTS!A51)</f>
        <v>50</v>
      </c>
      <c r="B51" s="2" t="str">
        <f>IF(PATIENTS!C51="","",PATIENTS!B51)</f>
        <v>B04</v>
      </c>
      <c r="C51" s="2" t="str">
        <f>IF(PATIENTS!C51="","",PATIENTS!C51)</f>
        <v>ΟΔΥΣΣΕΩΣ</v>
      </c>
      <c r="D51" s="1" t="str">
        <f>IF(PATIENTS!C51="","",PATIENTS!D51)</f>
        <v>Ο</v>
      </c>
      <c r="E51" s="2" t="str">
        <f>IF(PATIENTS!C51="","",PATIENTS!E51)</f>
        <v>διακομισμένος</v>
      </c>
      <c r="F51" s="3"/>
      <c r="G51" s="3"/>
      <c r="H51" s="3"/>
      <c r="I51" s="4"/>
      <c r="J51" s="4"/>
      <c r="K51" s="4"/>
      <c r="L51" s="5"/>
      <c r="M51" s="5"/>
      <c r="N51" s="5"/>
      <c r="O51" s="5"/>
      <c r="P51" s="6" t="s">
        <v>36</v>
      </c>
      <c r="Q51" s="6" t="s">
        <v>31</v>
      </c>
      <c r="R51" s="7" t="s">
        <v>44</v>
      </c>
      <c r="S51" s="7" t="s">
        <v>38</v>
      </c>
      <c r="T51" s="4"/>
      <c r="U51" s="4"/>
      <c r="V51" s="2"/>
      <c r="W51" s="2"/>
    </row>
    <row r="52" spans="1:23" x14ac:dyDescent="0.3">
      <c r="A52" s="1">
        <f>IF(PATIENTS!C52="","",PATIENTS!A52)</f>
        <v>51</v>
      </c>
      <c r="B52" s="2" t="str">
        <f>IF(PATIENTS!C52="","",PATIENTS!B52)</f>
        <v>B04</v>
      </c>
      <c r="C52" s="2" t="str">
        <f>IF(PATIENTS!C52="","",PATIENTS!C52)</f>
        <v>ΣΤΑΣΙΝΟΣ</v>
      </c>
      <c r="D52" s="1" t="str">
        <f>IF(PATIENTS!C52="","",PATIENTS!D52)</f>
        <v>Ο</v>
      </c>
      <c r="E52" s="2" t="str">
        <f>IF(PATIENTS!C52="","",PATIENTS!E52)</f>
        <v>παρών</v>
      </c>
      <c r="F52" s="3" t="s">
        <v>30</v>
      </c>
      <c r="G52" s="3" t="s">
        <v>229</v>
      </c>
      <c r="H52" s="3" t="s">
        <v>56</v>
      </c>
      <c r="I52" s="4"/>
      <c r="J52" s="4"/>
      <c r="K52" s="4"/>
      <c r="L52" s="5"/>
      <c r="M52" s="5"/>
      <c r="N52" s="5"/>
      <c r="O52" s="5"/>
      <c r="P52" s="6" t="s">
        <v>44</v>
      </c>
      <c r="Q52" s="6"/>
      <c r="R52" s="7"/>
      <c r="S52" s="7"/>
      <c r="T52" s="4"/>
      <c r="U52" s="4"/>
      <c r="V52" s="2"/>
      <c r="W52" s="2"/>
    </row>
    <row r="53" spans="1:23" x14ac:dyDescent="0.3">
      <c r="A53" s="1">
        <f>IF(PATIENTS!C53="","",PATIENTS!A53)</f>
        <v>52</v>
      </c>
      <c r="B53" s="2" t="str">
        <f>IF(PATIENTS!C53="","",PATIENTS!B53)</f>
        <v>B05</v>
      </c>
      <c r="C53" s="2" t="str">
        <f>IF(PATIENTS!C53="","",PATIENTS!C53)</f>
        <v>ΑΓΓΕΛΟΠΟΥΛΟΣ</v>
      </c>
      <c r="D53" s="1" t="str">
        <f>IF(PATIENTS!C53="","",PATIENTS!D53)</f>
        <v>Ο</v>
      </c>
      <c r="E53" s="2" t="str">
        <f>IF(PATIENTS!C53="","",PATIENTS!E53)</f>
        <v>παρών</v>
      </c>
      <c r="F53" s="40" t="s">
        <v>39</v>
      </c>
      <c r="G53" s="3" t="s">
        <v>229</v>
      </c>
      <c r="H53" s="3" t="s">
        <v>56</v>
      </c>
      <c r="I53" s="4"/>
      <c r="J53" s="4"/>
      <c r="K53" s="4"/>
      <c r="L53" s="5"/>
      <c r="M53" s="5"/>
      <c r="N53" s="5"/>
      <c r="O53" s="5"/>
      <c r="P53" s="6" t="s">
        <v>37</v>
      </c>
      <c r="Q53" s="6" t="s">
        <v>33</v>
      </c>
      <c r="R53" s="7"/>
      <c r="S53" s="7"/>
      <c r="T53" s="4"/>
      <c r="U53" s="4"/>
      <c r="V53" s="2"/>
      <c r="W53" s="2"/>
    </row>
    <row r="54" spans="1:23" x14ac:dyDescent="0.3">
      <c r="A54" s="1">
        <f>IF(PATIENTS!C54="","",PATIENTS!A54)</f>
        <v>53</v>
      </c>
      <c r="B54" s="2" t="str">
        <f>IF(PATIENTS!C54="","",PATIENTS!B54)</f>
        <v>B10</v>
      </c>
      <c r="C54" s="2" t="str">
        <f>IF(PATIENTS!C54="","",PATIENTS!C54)</f>
        <v>ΔΙΑΤΣΙΝΤΟΣ</v>
      </c>
      <c r="D54" s="1" t="str">
        <f>IF(PATIENTS!C54="","",PATIENTS!D54)</f>
        <v>Ν</v>
      </c>
      <c r="E54" s="2" t="str">
        <f>IF(PATIENTS!C54="","",PATIENTS!E54)</f>
        <v>διακομισμένος</v>
      </c>
      <c r="F54" s="3" t="s">
        <v>44</v>
      </c>
      <c r="G54" s="3"/>
      <c r="H54" s="3" t="s">
        <v>47</v>
      </c>
      <c r="I54" s="4"/>
      <c r="J54" s="4"/>
      <c r="K54" s="4"/>
      <c r="L54" s="5"/>
      <c r="M54" s="5"/>
      <c r="N54" s="5"/>
      <c r="O54" s="5"/>
      <c r="P54" s="6" t="s">
        <v>42</v>
      </c>
      <c r="Q54" s="6"/>
      <c r="R54" s="7"/>
      <c r="S54" s="7"/>
      <c r="T54" s="4"/>
      <c r="U54" s="4"/>
      <c r="V54" s="2"/>
      <c r="W54" s="2"/>
    </row>
    <row r="55" spans="1:23" x14ac:dyDescent="0.3">
      <c r="A55" s="1">
        <f>IF(PATIENTS!C55="","",PATIENTS!A55)</f>
        <v>54</v>
      </c>
      <c r="B55" s="2" t="str">
        <f>IF(PATIENTS!C55="","",PATIENTS!B55)</f>
        <v>B09</v>
      </c>
      <c r="C55" s="2" t="str">
        <f>IF(PATIENTS!C55="","",PATIENTS!C55)</f>
        <v>ΜΑΤΘΙΟΥΛΑΚΗΣ</v>
      </c>
      <c r="D55" s="1" t="str">
        <f>IF(PATIENTS!C55="","",PATIENTS!D55)</f>
        <v>Ν</v>
      </c>
      <c r="E55" s="2" t="str">
        <f>IF(PATIENTS!C55="","",PATIENTS!E55)</f>
        <v>παρών</v>
      </c>
      <c r="F55" s="3" t="s">
        <v>36</v>
      </c>
      <c r="G55" s="3" t="s">
        <v>229</v>
      </c>
      <c r="H55" s="3" t="s">
        <v>43</v>
      </c>
      <c r="I55" s="4"/>
      <c r="J55" s="4"/>
      <c r="K55" s="4"/>
      <c r="L55" s="5"/>
      <c r="M55" s="5"/>
      <c r="N55" s="5"/>
      <c r="O55" s="5"/>
      <c r="P55" s="6" t="s">
        <v>42</v>
      </c>
      <c r="Q55" s="6" t="s">
        <v>71</v>
      </c>
      <c r="R55" s="7"/>
      <c r="S55" s="7"/>
      <c r="T55" s="4"/>
      <c r="U55" s="4"/>
      <c r="V55" s="2"/>
      <c r="W55" s="2"/>
    </row>
    <row r="56" spans="1:23" x14ac:dyDescent="0.3">
      <c r="A56" s="1">
        <f>IF(PATIENTS!C56="","",PATIENTS!A56)</f>
        <v>55</v>
      </c>
      <c r="B56" s="2" t="str">
        <f>IF(PATIENTS!C56="","",PATIENTS!B56)</f>
        <v>B05</v>
      </c>
      <c r="C56" s="2" t="str">
        <f>IF(PATIENTS!C56="","",PATIENTS!C56)</f>
        <v>ΜΥΛΩΝΙΔΗΣ</v>
      </c>
      <c r="D56" s="1" t="str">
        <f>IF(PATIENTS!C56="","",PATIENTS!D56)</f>
        <v>Ο</v>
      </c>
      <c r="E56" s="2" t="str">
        <f>IF(PATIENTS!C56="","",PATIENTS!E56)</f>
        <v>παρών</v>
      </c>
      <c r="F56" s="3" t="s">
        <v>42</v>
      </c>
      <c r="G56" s="3" t="s">
        <v>229</v>
      </c>
      <c r="H56" s="3" t="s">
        <v>55</v>
      </c>
      <c r="I56" s="4"/>
      <c r="J56" s="4"/>
      <c r="K56" s="4"/>
      <c r="L56" s="5"/>
      <c r="M56" s="5"/>
      <c r="N56" s="5"/>
      <c r="O56" s="5"/>
      <c r="P56" s="6"/>
      <c r="Q56" s="6"/>
      <c r="R56" s="7"/>
      <c r="S56" s="7"/>
      <c r="T56" s="4" t="s">
        <v>44</v>
      </c>
      <c r="U56" s="4" t="s">
        <v>72</v>
      </c>
      <c r="V56" s="2"/>
      <c r="W56" s="2"/>
    </row>
    <row r="57" spans="1:23" x14ac:dyDescent="0.3">
      <c r="A57" s="1">
        <f>IF(PATIENTS!C57="","",PATIENTS!A57)</f>
        <v>56</v>
      </c>
      <c r="B57" s="2" t="str">
        <f>IF(PATIENTS!C57="","",PATIENTS!B57)</f>
        <v>B05</v>
      </c>
      <c r="C57" s="2" t="str">
        <f>IF(PATIENTS!C57="","",PATIENTS!C57)</f>
        <v>ΤΣΙΚΟΒΑΣ</v>
      </c>
      <c r="D57" s="1" t="str">
        <f>IF(PATIENTS!C57="","",PATIENTS!D57)</f>
        <v>Ο</v>
      </c>
      <c r="E57" s="2" t="str">
        <f>IF(PATIENTS!C57="","",PATIENTS!E57)</f>
        <v>παρών</v>
      </c>
      <c r="F57" s="3" t="s">
        <v>30</v>
      </c>
      <c r="G57" s="3" t="s">
        <v>229</v>
      </c>
      <c r="H57" s="3" t="s">
        <v>57</v>
      </c>
      <c r="I57" s="4"/>
      <c r="J57" s="4"/>
      <c r="K57" s="4"/>
      <c r="L57" s="5"/>
      <c r="M57" s="5"/>
      <c r="N57" s="5"/>
      <c r="O57" s="5"/>
      <c r="P57" s="6" t="s">
        <v>44</v>
      </c>
      <c r="Q57" s="6"/>
      <c r="R57" s="7"/>
      <c r="S57" s="7"/>
      <c r="T57" s="4"/>
      <c r="U57" s="4"/>
      <c r="V57" s="2"/>
      <c r="W57" s="2"/>
    </row>
    <row r="58" spans="1:23" x14ac:dyDescent="0.3">
      <c r="A58" s="1">
        <f>IF(PATIENTS!C58="","",PATIENTS!A58)</f>
        <v>57</v>
      </c>
      <c r="B58" s="2" t="str">
        <f>IF(PATIENTS!C58="","",PATIENTS!B58)</f>
        <v>B06</v>
      </c>
      <c r="C58" s="2" t="str">
        <f>IF(PATIENTS!C58="","",PATIENTS!C58)</f>
        <v>ΗΛΙΑ ΜΑΡΙΑ</v>
      </c>
      <c r="D58" s="1" t="str">
        <f>IF(PATIENTS!C58="","",PATIENTS!D58)</f>
        <v>Ο</v>
      </c>
      <c r="E58" s="2" t="str">
        <f>IF(PATIENTS!C58="","",PATIENTS!E58)</f>
        <v>παρών</v>
      </c>
      <c r="F58" s="3" t="s">
        <v>42</v>
      </c>
      <c r="G58" s="3" t="s">
        <v>229</v>
      </c>
      <c r="H58" s="3" t="s">
        <v>56</v>
      </c>
      <c r="I58" s="4"/>
      <c r="J58" s="4"/>
      <c r="K58" s="4"/>
      <c r="L58" s="5"/>
      <c r="M58" s="5"/>
      <c r="N58" s="5"/>
      <c r="O58" s="5"/>
      <c r="P58" s="6" t="s">
        <v>37</v>
      </c>
      <c r="Q58" s="6" t="s">
        <v>66</v>
      </c>
      <c r="R58" s="7"/>
      <c r="S58" s="7"/>
      <c r="T58" s="4"/>
      <c r="U58" s="4"/>
      <c r="V58" s="2"/>
      <c r="W58" s="2"/>
    </row>
    <row r="59" spans="1:23" x14ac:dyDescent="0.3">
      <c r="A59" s="1">
        <f>IF(PATIENTS!C59="","",PATIENTS!A59)</f>
        <v>58</v>
      </c>
      <c r="B59" s="2" t="str">
        <f>IF(PATIENTS!C59="","",PATIENTS!B59)</f>
        <v>B06</v>
      </c>
      <c r="C59" s="2" t="str">
        <f>IF(PATIENTS!C59="","",PATIENTS!C59)</f>
        <v>ΜΑΡΙΝΟΠΟΥΛΟΥ</v>
      </c>
      <c r="D59" s="1" t="str">
        <f>IF(PATIENTS!C59="","",PATIENTS!D59)</f>
        <v>Ο</v>
      </c>
      <c r="E59" s="2" t="str">
        <f>IF(PATIENTS!C59="","",PATIENTS!E59)</f>
        <v>παρών</v>
      </c>
      <c r="F59" s="3" t="s">
        <v>36</v>
      </c>
      <c r="G59" s="3" t="s">
        <v>229</v>
      </c>
      <c r="H59" s="3" t="s">
        <v>57</v>
      </c>
      <c r="I59" s="4" t="s">
        <v>37</v>
      </c>
      <c r="J59" s="4" t="s">
        <v>31</v>
      </c>
      <c r="K59" s="4" t="s">
        <v>32</v>
      </c>
      <c r="L59" s="5"/>
      <c r="M59" s="5"/>
      <c r="N59" s="5"/>
      <c r="O59" s="5"/>
      <c r="P59" s="6"/>
      <c r="Q59" s="6"/>
      <c r="R59" s="7"/>
      <c r="S59" s="7"/>
      <c r="T59" s="4"/>
      <c r="U59" s="4"/>
      <c r="V59" s="2"/>
      <c r="W59" s="2"/>
    </row>
    <row r="60" spans="1:23" x14ac:dyDescent="0.3">
      <c r="A60" s="1">
        <f>IF(PATIENTS!C60="","",PATIENTS!A60)</f>
        <v>59</v>
      </c>
      <c r="B60" s="2" t="str">
        <f>IF(PATIENTS!C60="","",PATIENTS!B60)</f>
        <v>B06</v>
      </c>
      <c r="C60" s="2" t="str">
        <f>IF(PATIENTS!C60="","",PATIENTS!C60)</f>
        <v>ΜΑΧΑΙΡΑ</v>
      </c>
      <c r="D60" s="1" t="str">
        <f>IF(PATIENTS!C60="","",PATIENTS!D60)</f>
        <v>Ο</v>
      </c>
      <c r="E60" s="2" t="str">
        <f>IF(PATIENTS!C60="","",PATIENTS!E60)</f>
        <v>παρών</v>
      </c>
      <c r="F60" s="3" t="s">
        <v>36</v>
      </c>
      <c r="G60" s="3" t="s">
        <v>229</v>
      </c>
      <c r="H60" s="3" t="s">
        <v>45</v>
      </c>
      <c r="I60" s="4"/>
      <c r="J60" s="4"/>
      <c r="K60" s="4"/>
      <c r="L60" s="5"/>
      <c r="M60" s="5"/>
      <c r="N60" s="5"/>
      <c r="O60" s="5"/>
      <c r="P60" s="6" t="s">
        <v>42</v>
      </c>
      <c r="Q60" s="6"/>
      <c r="R60" s="7"/>
      <c r="S60" s="7"/>
      <c r="T60" s="4"/>
      <c r="U60" s="4"/>
      <c r="V60" s="2"/>
      <c r="W60" s="2"/>
    </row>
    <row r="61" spans="1:23" x14ac:dyDescent="0.3">
      <c r="A61" s="1">
        <f>IF(PATIENTS!C61="","",PATIENTS!A61)</f>
        <v>60</v>
      </c>
      <c r="B61" s="2" t="str">
        <f>IF(PATIENTS!C61="","",PATIENTS!B61)</f>
        <v>B06</v>
      </c>
      <c r="C61" s="2" t="str">
        <f>IF(PATIENTS!C61="","",PATIENTS!C61)</f>
        <v>ΠΑΠΠΟΥ</v>
      </c>
      <c r="D61" s="1" t="str">
        <f>IF(PATIENTS!C61="","",PATIENTS!D61)</f>
        <v>Ο</v>
      </c>
      <c r="E61" s="2" t="str">
        <f>IF(PATIENTS!C61="","",PATIENTS!E61)</f>
        <v>παρών</v>
      </c>
      <c r="F61" s="3" t="s">
        <v>44</v>
      </c>
      <c r="G61" s="3" t="s">
        <v>229</v>
      </c>
      <c r="H61" s="3" t="s">
        <v>57</v>
      </c>
      <c r="I61" s="4"/>
      <c r="J61" s="4"/>
      <c r="K61" s="4"/>
      <c r="L61" s="5"/>
      <c r="M61" s="5"/>
      <c r="N61" s="5"/>
      <c r="O61" s="5"/>
      <c r="P61" s="6" t="s">
        <v>42</v>
      </c>
      <c r="Q61" s="6"/>
      <c r="R61" s="7"/>
      <c r="S61" s="7"/>
      <c r="T61" s="4"/>
      <c r="U61" s="4"/>
      <c r="V61" s="2"/>
      <c r="W61" s="2"/>
    </row>
    <row r="62" spans="1:23" x14ac:dyDescent="0.3">
      <c r="A62" s="1">
        <f>IF(PATIENTS!C62="","",PATIENTS!A62)</f>
        <v>61</v>
      </c>
      <c r="B62" s="2" t="str">
        <f>IF(PATIENTS!C62="","",PATIENTS!B62)</f>
        <v>B07</v>
      </c>
      <c r="C62" s="2" t="str">
        <f>IF(PATIENTS!C62="","",PATIENTS!C62)</f>
        <v>ΑΛΕΞΑΚΗΣ</v>
      </c>
      <c r="D62" s="1" t="str">
        <f>IF(PATIENTS!C62="","",PATIENTS!D62)</f>
        <v>Ο</v>
      </c>
      <c r="E62" s="2" t="str">
        <f>IF(PATIENTS!C62="","",PATIENTS!E62)</f>
        <v>παρών</v>
      </c>
      <c r="F62" s="3" t="s">
        <v>42</v>
      </c>
      <c r="G62" s="3" t="s">
        <v>229</v>
      </c>
      <c r="H62" s="3" t="s">
        <v>41</v>
      </c>
      <c r="I62" s="4" t="s">
        <v>39</v>
      </c>
      <c r="J62" s="4" t="s">
        <v>33</v>
      </c>
      <c r="K62" s="4" t="s">
        <v>32</v>
      </c>
      <c r="L62" s="5"/>
      <c r="M62" s="5"/>
      <c r="N62" s="5"/>
      <c r="O62" s="5"/>
      <c r="P62" s="6" t="s">
        <v>37</v>
      </c>
      <c r="Q62" s="6" t="s">
        <v>33</v>
      </c>
      <c r="R62" s="7"/>
      <c r="S62" s="7"/>
      <c r="T62" s="4"/>
      <c r="U62" s="4"/>
      <c r="V62" s="2"/>
      <c r="W62" s="2"/>
    </row>
    <row r="63" spans="1:23" x14ac:dyDescent="0.3">
      <c r="A63" s="1">
        <f>IF(PATIENTS!C63="","",PATIENTS!A63)</f>
        <v>62</v>
      </c>
      <c r="B63" s="2" t="str">
        <f>IF(PATIENTS!C63="","",PATIENTS!B63)</f>
        <v>B07</v>
      </c>
      <c r="C63" s="2" t="str">
        <f>IF(PATIENTS!C63="","",PATIENTS!C63)</f>
        <v>ΒΟΓΙΑΤΖΗΣ</v>
      </c>
      <c r="D63" s="1" t="str">
        <f>IF(PATIENTS!C63="","",PATIENTS!D63)</f>
        <v>Ο</v>
      </c>
      <c r="E63" s="2" t="str">
        <f>IF(PATIENTS!C63="","",PATIENTS!E63)</f>
        <v>παρών</v>
      </c>
      <c r="F63" s="3" t="s">
        <v>44</v>
      </c>
      <c r="G63" s="3" t="s">
        <v>229</v>
      </c>
      <c r="H63" s="3" t="s">
        <v>43</v>
      </c>
      <c r="I63" s="4"/>
      <c r="J63" s="4"/>
      <c r="K63" s="4"/>
      <c r="L63" s="5"/>
      <c r="M63" s="5"/>
      <c r="N63" s="5"/>
      <c r="O63" s="5"/>
      <c r="P63" s="6" t="s">
        <v>39</v>
      </c>
      <c r="Q63" s="6"/>
      <c r="R63" s="7"/>
      <c r="S63" s="7"/>
      <c r="T63" s="4"/>
      <c r="U63" s="4"/>
      <c r="V63" s="2"/>
      <c r="W63" s="2"/>
    </row>
    <row r="64" spans="1:23" x14ac:dyDescent="0.3">
      <c r="A64" s="1">
        <f>IF(PATIENTS!C64="","",PATIENTS!A64)</f>
        <v>63</v>
      </c>
      <c r="B64" s="2" t="str">
        <f>IF(PATIENTS!C64="","",PATIENTS!B64)</f>
        <v>B07</v>
      </c>
      <c r="C64" s="2" t="str">
        <f>IF(PATIENTS!C64="","",PATIENTS!C64)</f>
        <v>ΓΙΑΝΝΟΠΟΥΛΟΣ</v>
      </c>
      <c r="D64" s="1" t="str">
        <f>IF(PATIENTS!C64="","",PATIENTS!D64)</f>
        <v>Ο</v>
      </c>
      <c r="E64" s="2" t="str">
        <f>IF(PATIENTS!C64="","",PATIENTS!E64)</f>
        <v>παρών</v>
      </c>
      <c r="F64" s="3" t="s">
        <v>37</v>
      </c>
      <c r="G64" s="3" t="s">
        <v>33</v>
      </c>
      <c r="H64" s="3" t="s">
        <v>55</v>
      </c>
      <c r="I64" s="4"/>
      <c r="J64" s="4"/>
      <c r="K64" s="4"/>
      <c r="L64" s="5"/>
      <c r="M64" s="5"/>
      <c r="N64" s="5"/>
      <c r="O64" s="5"/>
      <c r="P64" s="6"/>
      <c r="Q64" s="6"/>
      <c r="R64" s="7"/>
      <c r="S64" s="7"/>
      <c r="T64" s="4"/>
      <c r="U64" s="4"/>
      <c r="V64" s="2"/>
      <c r="W64" s="2"/>
    </row>
    <row r="65" spans="1:23" x14ac:dyDescent="0.3">
      <c r="A65" s="1">
        <f>IF(PATIENTS!C65="","",PATIENTS!A65)</f>
        <v>64</v>
      </c>
      <c r="B65" s="2" t="str">
        <f>IF(PATIENTS!C65="","",PATIENTS!B65)</f>
        <v>B07</v>
      </c>
      <c r="C65" s="2" t="str">
        <f>IF(PATIENTS!C65="","",PATIENTS!C65)</f>
        <v>ΔΕΣΤΟΥΝΗΣ</v>
      </c>
      <c r="D65" s="1" t="str">
        <f>IF(PATIENTS!C65="","",PATIENTS!D65)</f>
        <v>Ο</v>
      </c>
      <c r="E65" s="2" t="str">
        <f>IF(PATIENTS!C65="","",PATIENTS!E65)</f>
        <v>αναβολή ΦΘ</v>
      </c>
      <c r="F65" s="3"/>
      <c r="G65" s="3"/>
      <c r="H65" s="3"/>
      <c r="I65" s="4"/>
      <c r="J65" s="4"/>
      <c r="K65" s="4"/>
      <c r="L65" s="5"/>
      <c r="M65" s="5"/>
      <c r="N65" s="5"/>
      <c r="O65" s="5"/>
      <c r="P65" s="6"/>
      <c r="Q65" s="6"/>
      <c r="R65" s="7"/>
      <c r="S65" s="7"/>
      <c r="T65" s="4"/>
      <c r="U65" s="4"/>
      <c r="V65" s="2"/>
      <c r="W65" s="2"/>
    </row>
    <row r="66" spans="1:23" x14ac:dyDescent="0.3">
      <c r="A66" s="1">
        <f>IF(PATIENTS!C66="","",PATIENTS!A66)</f>
        <v>65</v>
      </c>
      <c r="B66" s="2" t="str">
        <f>IF(PATIENTS!C66="","",PATIENTS!B66)</f>
        <v>B07</v>
      </c>
      <c r="C66" s="2" t="str">
        <f>IF(PATIENTS!C66="","",PATIENTS!C66)</f>
        <v>ΣΩΚΟΣ</v>
      </c>
      <c r="D66" s="1" t="str">
        <f>IF(PATIENTS!C66="","",PATIENTS!D66)</f>
        <v>Ο</v>
      </c>
      <c r="E66" s="2" t="str">
        <f>IF(PATIENTS!C66="","",PATIENTS!E66)</f>
        <v>παρών</v>
      </c>
      <c r="F66" s="40" t="s">
        <v>37</v>
      </c>
      <c r="G66" s="3" t="s">
        <v>229</v>
      </c>
      <c r="H66" s="3" t="s">
        <v>47</v>
      </c>
      <c r="I66" s="4"/>
      <c r="J66" s="4"/>
      <c r="K66" s="4"/>
      <c r="L66" s="5"/>
      <c r="M66" s="5"/>
      <c r="N66" s="5" t="s">
        <v>36</v>
      </c>
      <c r="O66" s="5" t="s">
        <v>35</v>
      </c>
      <c r="P66" s="6" t="s">
        <v>42</v>
      </c>
      <c r="Q66" s="6"/>
      <c r="R66" s="7"/>
      <c r="S66" s="7"/>
      <c r="T66" s="4"/>
      <c r="U66" s="4"/>
      <c r="V66" s="2"/>
      <c r="W66" s="2"/>
    </row>
    <row r="67" spans="1:23" x14ac:dyDescent="0.3">
      <c r="A67" s="1">
        <f>IF(PATIENTS!C67="","",PATIENTS!A67)</f>
        <v>66</v>
      </c>
      <c r="B67" s="2" t="str">
        <f>IF(PATIENTS!C67="","",PATIENTS!B67)</f>
        <v>B08</v>
      </c>
      <c r="C67" s="2" t="str">
        <f>IF(PATIENTS!C67="","",PATIENTS!C67)</f>
        <v>CANGOLLARI</v>
      </c>
      <c r="D67" s="1" t="str">
        <f>IF(PATIENTS!C67="","",PATIENTS!D67)</f>
        <v>Ο</v>
      </c>
      <c r="E67" s="2" t="str">
        <f>IF(PATIENTS!C67="","",PATIENTS!E67)</f>
        <v>παρών</v>
      </c>
      <c r="F67" s="3" t="s">
        <v>36</v>
      </c>
      <c r="G67" s="3" t="s">
        <v>33</v>
      </c>
      <c r="H67" s="3" t="s">
        <v>55</v>
      </c>
      <c r="I67" s="4"/>
      <c r="J67" s="4"/>
      <c r="K67" s="4"/>
      <c r="L67" s="5" t="s">
        <v>73</v>
      </c>
      <c r="M67" s="5" t="s">
        <v>35</v>
      </c>
      <c r="N67" s="5"/>
      <c r="O67" s="5"/>
      <c r="P67" s="6"/>
      <c r="Q67" s="6"/>
      <c r="R67" s="7"/>
      <c r="S67" s="7"/>
      <c r="T67" s="4"/>
      <c r="U67" s="4"/>
      <c r="V67" s="2"/>
      <c r="W67" s="2"/>
    </row>
    <row r="68" spans="1:23" x14ac:dyDescent="0.3">
      <c r="A68" s="1">
        <f>IF(PATIENTS!C68="","",PATIENTS!A68)</f>
        <v>67</v>
      </c>
      <c r="B68" s="2" t="str">
        <f>IF(PATIENTS!C68="","",PATIENTS!B68)</f>
        <v>B08</v>
      </c>
      <c r="C68" s="2" t="str">
        <f>IF(PATIENTS!C68="","",PATIENTS!C68)</f>
        <v>ΖΕΡΒΑ</v>
      </c>
      <c r="D68" s="1" t="str">
        <f>IF(PATIENTS!C68="","",PATIENTS!D68)</f>
        <v>Ο</v>
      </c>
      <c r="E68" s="2" t="str">
        <f>IF(PATIENTS!C68="","",PATIENTS!E68)</f>
        <v>παρών</v>
      </c>
      <c r="F68" s="3" t="s">
        <v>37</v>
      </c>
      <c r="G68" s="3" t="s">
        <v>229</v>
      </c>
      <c r="H68" s="3" t="s">
        <v>43</v>
      </c>
      <c r="I68" s="4" t="s">
        <v>36</v>
      </c>
      <c r="J68" s="4" t="s">
        <v>31</v>
      </c>
      <c r="K68" s="4" t="s">
        <v>53</v>
      </c>
      <c r="L68" s="5"/>
      <c r="M68" s="5"/>
      <c r="N68" s="5"/>
      <c r="O68" s="5"/>
      <c r="P68" s="6" t="s">
        <v>42</v>
      </c>
      <c r="Q68" s="6" t="s">
        <v>33</v>
      </c>
      <c r="R68" s="7"/>
      <c r="S68" s="7"/>
      <c r="T68" s="4"/>
      <c r="U68" s="4"/>
      <c r="V68" s="2"/>
      <c r="W68" s="2"/>
    </row>
    <row r="69" spans="1:23" x14ac:dyDescent="0.3">
      <c r="A69" s="1" t="str">
        <f>IF(PATIENTS!C69="","",PATIENTS!A69)</f>
        <v/>
      </c>
      <c r="B69" s="2" t="str">
        <f>IF(PATIENTS!C69="","",PATIENTS!B69)</f>
        <v/>
      </c>
      <c r="C69" s="2" t="str">
        <f>IF(PATIENTS!C69="","",PATIENTS!C69)</f>
        <v/>
      </c>
      <c r="D69" s="1" t="str">
        <f>IF(PATIENTS!C69="","",PATIENTS!D69)</f>
        <v/>
      </c>
      <c r="E69" s="2" t="str">
        <f>IF(PATIENTS!C69="","",PATIENTS!E69)</f>
        <v/>
      </c>
      <c r="F69" s="3"/>
      <c r="G69" s="3"/>
      <c r="H69" s="3"/>
      <c r="I69" s="4"/>
      <c r="J69" s="4"/>
      <c r="K69" s="4"/>
      <c r="L69" s="5"/>
      <c r="M69" s="5"/>
      <c r="N69" s="5"/>
      <c r="O69" s="5"/>
      <c r="P69" s="6"/>
      <c r="Q69" s="6"/>
      <c r="R69" s="7"/>
      <c r="S69" s="7"/>
      <c r="T69" s="4"/>
      <c r="U69" s="4"/>
      <c r="V69" s="2"/>
      <c r="W69" s="2"/>
    </row>
    <row r="70" spans="1:23" x14ac:dyDescent="0.3">
      <c r="A70" s="1">
        <f>IF(PATIENTS!C70="","",PATIENTS!A70)</f>
        <v>69</v>
      </c>
      <c r="B70" s="2" t="str">
        <f>IF(PATIENTS!C70="","",PATIENTS!B70)</f>
        <v>B08</v>
      </c>
      <c r="C70" s="2" t="str">
        <f>IF(PATIENTS!C70="","",PATIENTS!C70)</f>
        <v xml:space="preserve">ΤΖΟΡΙΛΗ </v>
      </c>
      <c r="D70" s="1" t="str">
        <f>IF(PATIENTS!C70="","",PATIENTS!D70)</f>
        <v>Ο</v>
      </c>
      <c r="E70" s="2" t="str">
        <f>IF(PATIENTS!C70="","",PATIENTS!E70)</f>
        <v>παρών</v>
      </c>
      <c r="F70" s="3" t="s">
        <v>36</v>
      </c>
      <c r="G70" s="3" t="s">
        <v>31</v>
      </c>
      <c r="H70" s="3" t="s">
        <v>56</v>
      </c>
      <c r="I70" s="4"/>
      <c r="J70" s="4"/>
      <c r="K70" s="4"/>
      <c r="L70" s="5"/>
      <c r="M70" s="5"/>
      <c r="N70" s="5"/>
      <c r="O70" s="5"/>
      <c r="P70" s="6" t="s">
        <v>36</v>
      </c>
      <c r="Q70" s="6" t="s">
        <v>63</v>
      </c>
      <c r="R70" s="7"/>
      <c r="S70" s="7"/>
      <c r="T70" s="4"/>
      <c r="U70" s="4"/>
      <c r="V70" s="2"/>
      <c r="W70" s="2"/>
    </row>
    <row r="71" spans="1:23" x14ac:dyDescent="0.3">
      <c r="A71" s="1">
        <f>IF(PATIENTS!C71="","",PATIENTS!A71)</f>
        <v>70</v>
      </c>
      <c r="B71" s="2" t="str">
        <f>IF(PATIENTS!C71="","",PATIENTS!B71)</f>
        <v>B09</v>
      </c>
      <c r="C71" s="2" t="str">
        <f>IF(PATIENTS!C71="","",PATIENTS!C71)</f>
        <v>ΔΙΠΛΑ</v>
      </c>
      <c r="D71" s="1" t="str">
        <f>IF(PATIENTS!C71="","",PATIENTS!D71)</f>
        <v>Ν</v>
      </c>
      <c r="E71" s="2" t="str">
        <f>IF(PATIENTS!C71="","",PATIENTS!E71)</f>
        <v>παρών</v>
      </c>
      <c r="F71" s="3" t="s">
        <v>42</v>
      </c>
      <c r="G71" s="3" t="s">
        <v>229</v>
      </c>
      <c r="H71" s="3" t="s">
        <v>47</v>
      </c>
      <c r="I71" s="4"/>
      <c r="J71" s="4"/>
      <c r="K71" s="4"/>
      <c r="L71" s="5"/>
      <c r="M71" s="5"/>
      <c r="N71" s="5"/>
      <c r="O71" s="5"/>
      <c r="P71" s="6"/>
      <c r="Q71" s="6"/>
      <c r="R71" s="7"/>
      <c r="S71" s="7"/>
      <c r="T71" s="4"/>
      <c r="U71" s="4"/>
      <c r="V71" s="2"/>
      <c r="W71" s="2"/>
    </row>
    <row r="72" spans="1:23" x14ac:dyDescent="0.3">
      <c r="A72" s="1">
        <f>IF(PATIENTS!C72="","",PATIENTS!A72)</f>
        <v>71</v>
      </c>
      <c r="B72" s="2" t="str">
        <f>IF(PATIENTS!C72="","",PATIENTS!B72)</f>
        <v>B09</v>
      </c>
      <c r="C72" s="2" t="str">
        <f>IF(PATIENTS!C72="","",PATIENTS!C72)</f>
        <v>ΚΑΤΣΑΝΤΩΝΗΣ</v>
      </c>
      <c r="D72" s="1" t="str">
        <f>IF(PATIENTS!C72="","",PATIENTS!D72)</f>
        <v>Ν</v>
      </c>
      <c r="E72" s="2" t="str">
        <f>IF(PATIENTS!C72="","",PATIENTS!E72)</f>
        <v>παρών</v>
      </c>
      <c r="F72" s="40" t="s">
        <v>42</v>
      </c>
      <c r="G72" s="3" t="s">
        <v>229</v>
      </c>
      <c r="H72" s="3" t="s">
        <v>46</v>
      </c>
      <c r="I72" s="4"/>
      <c r="J72" s="4"/>
      <c r="K72" s="4"/>
      <c r="L72" s="5"/>
      <c r="M72" s="5"/>
      <c r="N72" s="5"/>
      <c r="O72" s="5"/>
      <c r="P72" s="6" t="s">
        <v>74</v>
      </c>
      <c r="Q72" s="6"/>
      <c r="R72" s="7"/>
      <c r="S72" s="7"/>
      <c r="T72" s="4"/>
      <c r="U72" s="4"/>
      <c r="V72" s="2"/>
      <c r="W72" s="2"/>
    </row>
    <row r="73" spans="1:23" x14ac:dyDescent="0.3">
      <c r="A73" s="1">
        <f>IF(PATIENTS!C73="","",PATIENTS!A73)</f>
        <v>72</v>
      </c>
      <c r="B73" s="2" t="str">
        <f>IF(PATIENTS!C73="","",PATIENTS!B73)</f>
        <v>B10</v>
      </c>
      <c r="C73" s="12" t="str">
        <f>IF(PATIENTS!C73="","",PATIENTS!C73)</f>
        <v>BAKHIT LATIF</v>
      </c>
      <c r="D73" s="1" t="str">
        <f>IF(PATIENTS!C73="","",PATIENTS!D73)</f>
        <v>Ν</v>
      </c>
      <c r="E73" s="2" t="str">
        <f>IF(PATIENTS!C73="","",PATIENTS!E73)</f>
        <v>παρών</v>
      </c>
      <c r="F73" s="3" t="s">
        <v>44</v>
      </c>
      <c r="G73" s="3" t="s">
        <v>229</v>
      </c>
      <c r="H73" s="3" t="s">
        <v>54</v>
      </c>
      <c r="I73" s="4"/>
      <c r="J73" s="4"/>
      <c r="K73" s="4"/>
      <c r="L73" s="5"/>
      <c r="M73" s="5"/>
      <c r="N73" s="5"/>
      <c r="O73" s="5"/>
      <c r="P73" s="6" t="s">
        <v>39</v>
      </c>
      <c r="Q73" s="6" t="s">
        <v>75</v>
      </c>
      <c r="R73" s="7"/>
      <c r="S73" s="7"/>
      <c r="T73" s="4" t="s">
        <v>36</v>
      </c>
      <c r="U73" s="4" t="s">
        <v>38</v>
      </c>
      <c r="V73" s="2"/>
      <c r="W73" s="2"/>
    </row>
    <row r="74" spans="1:23" x14ac:dyDescent="0.3">
      <c r="A74" s="1">
        <f>IF(PATIENTS!C74="","",PATIENTS!A74)</f>
        <v>73</v>
      </c>
      <c r="B74" s="2" t="str">
        <f>IF(PATIENTS!C74="","",PATIENTS!B74)</f>
        <v>B10</v>
      </c>
      <c r="C74" s="12" t="str">
        <f>IF(PATIENTS!C74="","",PATIENTS!C74)</f>
        <v>ΒΡΑΧΝΟΣ</v>
      </c>
      <c r="D74" s="1" t="str">
        <f>IF(PATIENTS!C74="","",PATIENTS!D74)</f>
        <v>Ν</v>
      </c>
      <c r="E74" s="2" t="str">
        <f>IF(PATIENTS!C74="","",PATIENTS!E74)</f>
        <v>παρών</v>
      </c>
      <c r="F74" s="3" t="s">
        <v>42</v>
      </c>
      <c r="G74" s="3" t="s">
        <v>31</v>
      </c>
      <c r="H74" s="3" t="s">
        <v>57</v>
      </c>
      <c r="I74" s="4"/>
      <c r="J74" s="4"/>
      <c r="K74" s="4"/>
      <c r="L74" s="5"/>
      <c r="M74" s="5"/>
      <c r="N74" s="5"/>
      <c r="O74" s="5"/>
      <c r="P74" s="6"/>
      <c r="Q74" s="6"/>
      <c r="R74" s="7"/>
      <c r="S74" s="7"/>
      <c r="T74" s="4"/>
      <c r="U74" s="4"/>
      <c r="V74" s="2"/>
      <c r="W74" s="2"/>
    </row>
    <row r="75" spans="1:23" x14ac:dyDescent="0.3">
      <c r="A75" s="1">
        <f>IF(PATIENTS!C75="","",PATIENTS!A75)</f>
        <v>74</v>
      </c>
      <c r="B75" s="2" t="str">
        <f>IF(PATIENTS!C75="","",PATIENTS!B75)</f>
        <v>B10</v>
      </c>
      <c r="C75" s="12" t="str">
        <f>IF(PATIENTS!C75="","",PATIENTS!C75)</f>
        <v>ΚΑΠΡΕΤΣΟΣ</v>
      </c>
      <c r="D75" s="1" t="str">
        <f>IF(PATIENTS!C75="","",PATIENTS!D75)</f>
        <v>Ν</v>
      </c>
      <c r="E75" s="2" t="str">
        <f>IF(PATIENTS!C75="","",PATIENTS!E75)</f>
        <v>παρών</v>
      </c>
      <c r="F75" s="42" t="s">
        <v>37</v>
      </c>
      <c r="G75" s="3" t="s">
        <v>229</v>
      </c>
      <c r="H75" s="43" t="s">
        <v>49</v>
      </c>
      <c r="I75" s="4"/>
      <c r="J75" s="4"/>
      <c r="K75" s="4"/>
      <c r="L75" s="5"/>
      <c r="M75" s="5"/>
      <c r="N75" s="5"/>
      <c r="O75" s="5"/>
      <c r="P75" s="6" t="s">
        <v>36</v>
      </c>
      <c r="Q75" s="6" t="s">
        <v>31</v>
      </c>
      <c r="R75" s="7"/>
      <c r="S75" s="7"/>
      <c r="T75" s="4"/>
      <c r="U75" s="4"/>
      <c r="V75" s="2"/>
      <c r="W75" s="2"/>
    </row>
    <row r="76" spans="1:23" x14ac:dyDescent="0.3">
      <c r="A76" s="1">
        <f>IF(PATIENTS!C76="","",PATIENTS!A76)</f>
        <v>75</v>
      </c>
      <c r="B76" s="2" t="str">
        <f>IF(PATIENTS!C76="","",PATIENTS!B76)</f>
        <v>B10</v>
      </c>
      <c r="C76" s="12" t="str">
        <f>IF(PATIENTS!C76="","",PATIENTS!C76)</f>
        <v>ΚΩΝΣΤΑΝΤΙΟΣ</v>
      </c>
      <c r="D76" s="1" t="str">
        <f>IF(PATIENTS!C76="","",PATIENTS!D76)</f>
        <v>Ν</v>
      </c>
      <c r="E76" s="2" t="str">
        <f>IF(PATIENTS!C76="","",PATIENTS!E76)</f>
        <v>αναβολή ΦΘ</v>
      </c>
      <c r="F76" s="3"/>
      <c r="G76" s="3"/>
      <c r="H76" s="3"/>
      <c r="I76" s="4"/>
      <c r="J76" s="4"/>
      <c r="K76" s="4"/>
      <c r="L76" s="5"/>
      <c r="M76" s="5"/>
      <c r="N76" s="5"/>
      <c r="O76" s="5"/>
      <c r="P76" s="6"/>
      <c r="Q76" s="6"/>
      <c r="R76" s="7"/>
      <c r="S76" s="7"/>
      <c r="T76" s="4"/>
      <c r="U76" s="4"/>
      <c r="V76" s="2"/>
      <c r="W76" s="2"/>
    </row>
    <row r="77" spans="1:23" x14ac:dyDescent="0.3">
      <c r="A77" s="1">
        <f>IF(PATIENTS!C77="","",PATIENTS!A77)</f>
        <v>76</v>
      </c>
      <c r="B77" s="2" t="str">
        <f>IF(PATIENTS!C77="","",PATIENTS!B77)</f>
        <v>B13</v>
      </c>
      <c r="C77" s="12" t="str">
        <f>IF(PATIENTS!C77="","",PATIENTS!C77)</f>
        <v>ΔΕΡΜΙΤΖΑΚΗΣ</v>
      </c>
      <c r="D77" s="1" t="str">
        <f>IF(PATIENTS!C77="","",PATIENTS!D77)</f>
        <v>Ν</v>
      </c>
      <c r="E77" s="2" t="str">
        <f>IF(PATIENTS!C77="","",PATIENTS!E77)</f>
        <v>παρών</v>
      </c>
      <c r="F77" s="3" t="s">
        <v>44</v>
      </c>
      <c r="G77" s="3" t="s">
        <v>229</v>
      </c>
      <c r="H77" s="3" t="s">
        <v>55</v>
      </c>
      <c r="I77" s="4"/>
      <c r="J77" s="4"/>
      <c r="K77" s="4"/>
      <c r="L77" s="5"/>
      <c r="M77" s="5"/>
      <c r="N77" s="5"/>
      <c r="O77" s="5"/>
      <c r="P77" s="6" t="s">
        <v>30</v>
      </c>
      <c r="Q77" s="6"/>
      <c r="R77" s="7" t="s">
        <v>36</v>
      </c>
      <c r="S77" s="7"/>
      <c r="T77" s="4"/>
      <c r="U77" s="4"/>
      <c r="V77" s="2"/>
      <c r="W77" s="2"/>
    </row>
    <row r="78" spans="1:23" x14ac:dyDescent="0.3">
      <c r="A78" s="1">
        <f>IF(PATIENTS!C78="","",PATIENTS!A78)</f>
        <v>77</v>
      </c>
      <c r="B78" s="2" t="str">
        <f>IF(PATIENTS!C78="","",PATIENTS!B78)</f>
        <v>B13</v>
      </c>
      <c r="C78" s="12" t="str">
        <f>IF(PATIENTS!C78="","",PATIENTS!C78)</f>
        <v>ΠΑΖΙΟΣ ΑΝΔ</v>
      </c>
      <c r="D78" s="1" t="str">
        <f>IF(PATIENTS!C78="","",PATIENTS!D78)</f>
        <v>Ν</v>
      </c>
      <c r="E78" s="2" t="str">
        <f>IF(PATIENTS!C78="","",PATIENTS!E78)</f>
        <v>παρών</v>
      </c>
      <c r="F78" s="3" t="s">
        <v>37</v>
      </c>
      <c r="G78" s="3" t="s">
        <v>229</v>
      </c>
      <c r="H78" s="3" t="s">
        <v>52</v>
      </c>
      <c r="I78" s="4"/>
      <c r="J78" s="4"/>
      <c r="K78" s="4"/>
      <c r="L78" s="5"/>
      <c r="M78" s="5"/>
      <c r="N78" s="5"/>
      <c r="O78" s="5"/>
      <c r="P78" s="6"/>
      <c r="Q78" s="6"/>
      <c r="R78" s="7"/>
      <c r="S78" s="7"/>
      <c r="T78" s="4"/>
      <c r="U78" s="4"/>
      <c r="V78" s="2"/>
      <c r="W78" s="2"/>
    </row>
    <row r="79" spans="1:23" x14ac:dyDescent="0.3">
      <c r="A79" s="1">
        <f>IF(PATIENTS!C79="","",PATIENTS!A79)</f>
        <v>78</v>
      </c>
      <c r="B79" s="2" t="str">
        <f>IF(PATIENTS!C79="","",PATIENTS!B79)</f>
        <v>B14</v>
      </c>
      <c r="C79" s="2" t="str">
        <f>IF(PATIENTS!C79="","",PATIENTS!C79)</f>
        <v>ΗΛΙΑ ΧΡΥΣΟΥΛΑ</v>
      </c>
      <c r="D79" s="1" t="str">
        <f>IF(PATIENTS!C79="","",PATIENTS!D79)</f>
        <v>Ο</v>
      </c>
      <c r="E79" s="2" t="str">
        <f>IF(PATIENTS!C79="","",PATIENTS!E79)</f>
        <v>παρών</v>
      </c>
      <c r="F79" s="3" t="s">
        <v>44</v>
      </c>
      <c r="G79" s="3" t="s">
        <v>229</v>
      </c>
      <c r="H79" s="3" t="s">
        <v>46</v>
      </c>
      <c r="I79" s="4"/>
      <c r="J79" s="4"/>
      <c r="K79" s="4"/>
      <c r="L79" s="5"/>
      <c r="M79" s="5"/>
      <c r="N79" s="5"/>
      <c r="O79" s="5"/>
      <c r="P79" s="6" t="s">
        <v>44</v>
      </c>
      <c r="Q79" s="6" t="s">
        <v>33</v>
      </c>
      <c r="R79" s="7" t="s">
        <v>42</v>
      </c>
      <c r="S79" s="7" t="s">
        <v>64</v>
      </c>
      <c r="T79" s="4"/>
      <c r="U79" s="4"/>
      <c r="V79" s="2"/>
      <c r="W79" s="2"/>
    </row>
    <row r="80" spans="1:23" x14ac:dyDescent="0.3">
      <c r="A80" s="1">
        <f>IF(PATIENTS!C80="","",PATIENTS!A80)</f>
        <v>79</v>
      </c>
      <c r="B80" s="2" t="str">
        <f>IF(PATIENTS!C80="","",PATIENTS!B80)</f>
        <v>B14</v>
      </c>
      <c r="C80" s="2" t="str">
        <f>IF(PATIENTS!C80="","",PATIENTS!C80)</f>
        <v>ΜΑΛΑΠΑΝΗ</v>
      </c>
      <c r="D80" s="1" t="str">
        <f>IF(PATIENTS!C80="","",PATIENTS!D80)</f>
        <v>Ο</v>
      </c>
      <c r="E80" s="2" t="str">
        <f>IF(PATIENTS!C80="","",PATIENTS!E80)</f>
        <v>παρών</v>
      </c>
      <c r="F80" s="3" t="s">
        <v>42</v>
      </c>
      <c r="G80" s="3" t="s">
        <v>33</v>
      </c>
      <c r="H80" s="3" t="s">
        <v>57</v>
      </c>
      <c r="I80" s="4"/>
      <c r="J80" s="4"/>
      <c r="K80" s="4"/>
      <c r="L80" s="5"/>
      <c r="M80" s="5"/>
      <c r="N80" s="5"/>
      <c r="O80" s="5"/>
      <c r="P80" s="6"/>
      <c r="Q80" s="6"/>
      <c r="R80" s="7"/>
      <c r="S80" s="7"/>
      <c r="T80" s="4"/>
      <c r="U80" s="4"/>
      <c r="V80" s="2"/>
      <c r="W80" s="2"/>
    </row>
    <row r="81" spans="1:23" x14ac:dyDescent="0.3">
      <c r="A81" s="1">
        <f>IF(PATIENTS!C81="","",PATIENTS!A81)</f>
        <v>80</v>
      </c>
      <c r="B81" s="2" t="str">
        <f>IF(PATIENTS!C81="","",PATIENTS!B81)</f>
        <v>B14</v>
      </c>
      <c r="C81" s="2" t="str">
        <f>IF(PATIENTS!C81="","",PATIENTS!C81)</f>
        <v>ΜΠΑΡΜΠΑΚΗ</v>
      </c>
      <c r="D81" s="1" t="str">
        <f>IF(PATIENTS!C81="","",PATIENTS!D81)</f>
        <v>Ο</v>
      </c>
      <c r="E81" s="2" t="str">
        <f>IF(PATIENTS!C81="","",PATIENTS!E81)</f>
        <v>παρών</v>
      </c>
      <c r="F81" s="3" t="s">
        <v>30</v>
      </c>
      <c r="G81" s="3" t="s">
        <v>229</v>
      </c>
      <c r="H81" s="3" t="s">
        <v>45</v>
      </c>
      <c r="I81" s="4"/>
      <c r="J81" s="4"/>
      <c r="K81" s="4"/>
      <c r="L81" s="5"/>
      <c r="M81" s="5"/>
      <c r="N81" s="5"/>
      <c r="O81" s="5"/>
      <c r="P81" s="6" t="s">
        <v>44</v>
      </c>
      <c r="Q81" s="6" t="s">
        <v>31</v>
      </c>
      <c r="R81" s="7"/>
      <c r="S81" s="7"/>
      <c r="T81" s="4"/>
      <c r="U81" s="4"/>
      <c r="V81" s="2"/>
      <c r="W81" s="2"/>
    </row>
    <row r="82" spans="1:23" x14ac:dyDescent="0.3">
      <c r="A82" s="1">
        <f>IF(PATIENTS!C82="","",PATIENTS!A82)</f>
        <v>81</v>
      </c>
      <c r="B82" s="2" t="str">
        <f>IF(PATIENTS!C82="","",PATIENTS!B82)</f>
        <v>B14</v>
      </c>
      <c r="C82" s="2" t="str">
        <f>IF(PATIENTS!C82="","",PATIENTS!C82)</f>
        <v>ΤΣΙΑΜΑΣΦΙΡΟΥ</v>
      </c>
      <c r="D82" s="1" t="str">
        <f>IF(PATIENTS!C82="","",PATIENTS!D82)</f>
        <v>Ο</v>
      </c>
      <c r="E82" s="2" t="str">
        <f>IF(PATIENTS!C82="","",PATIENTS!E82)</f>
        <v>παρών</v>
      </c>
      <c r="F82" s="3" t="s">
        <v>36</v>
      </c>
      <c r="G82" s="3" t="s">
        <v>229</v>
      </c>
      <c r="H82" s="3" t="s">
        <v>32</v>
      </c>
      <c r="I82" s="4"/>
      <c r="J82" s="4"/>
      <c r="K82" s="4"/>
      <c r="L82" s="5"/>
      <c r="M82" s="5"/>
      <c r="N82" s="5"/>
      <c r="O82" s="5"/>
      <c r="P82" s="6" t="s">
        <v>39</v>
      </c>
      <c r="Q82" s="6" t="s">
        <v>31</v>
      </c>
      <c r="R82" s="7"/>
      <c r="S82" s="7"/>
      <c r="T82" s="4"/>
      <c r="U82" s="4"/>
      <c r="V82" s="2"/>
      <c r="W82" s="2"/>
    </row>
    <row r="83" spans="1:23" x14ac:dyDescent="0.3">
      <c r="A83" s="1" t="str">
        <f>IF(PATIENTS!C83="","",PATIENTS!A83)</f>
        <v/>
      </c>
      <c r="B83" s="2" t="str">
        <f>IF(PATIENTS!C83="","",PATIENTS!B83)</f>
        <v/>
      </c>
      <c r="C83" s="2" t="str">
        <f>IF(PATIENTS!C83="","",PATIENTS!C83)</f>
        <v/>
      </c>
      <c r="D83" s="1" t="str">
        <f>IF(PATIENTS!C83="","",PATIENTS!D83)</f>
        <v/>
      </c>
      <c r="E83" s="2" t="str">
        <f>IF(PATIENTS!C83="","",PATIENTS!E83)</f>
        <v/>
      </c>
      <c r="F83" s="3"/>
      <c r="G83" s="3"/>
      <c r="H83" s="3"/>
      <c r="I83" s="4"/>
      <c r="J83" s="4"/>
      <c r="K83" s="4"/>
      <c r="L83" s="5"/>
      <c r="M83" s="5"/>
      <c r="N83" s="5"/>
      <c r="O83" s="5"/>
      <c r="P83" s="6"/>
      <c r="Q83" s="6"/>
      <c r="R83" s="7"/>
      <c r="S83" s="7"/>
      <c r="T83" s="4"/>
      <c r="U83" s="4"/>
      <c r="V83" s="2"/>
      <c r="W83" s="2"/>
    </row>
    <row r="84" spans="1:23" x14ac:dyDescent="0.3">
      <c r="A84" s="1">
        <f>IF(PATIENTS!C84="","",PATIENTS!A84)</f>
        <v>83</v>
      </c>
      <c r="B84" s="2" t="str">
        <f>IF(PATIENTS!C84="","",PATIENTS!B84)</f>
        <v>B15</v>
      </c>
      <c r="C84" s="2" t="str">
        <f>IF(PATIENTS!C84="","",PATIENTS!C84)</f>
        <v>ΚΕΣΕΚΙΔΟΥ</v>
      </c>
      <c r="D84" s="1" t="str">
        <f>IF(PATIENTS!C84="","",PATIENTS!D84)</f>
        <v>Ο</v>
      </c>
      <c r="E84" s="2" t="str">
        <f>IF(PATIENTS!C84="","",PATIENTS!E84)</f>
        <v>παρών</v>
      </c>
      <c r="F84" s="3" t="s">
        <v>42</v>
      </c>
      <c r="G84" s="3" t="s">
        <v>229</v>
      </c>
      <c r="H84" s="3" t="s">
        <v>45</v>
      </c>
      <c r="I84" s="4"/>
      <c r="J84" s="4"/>
      <c r="K84" s="4"/>
      <c r="L84" s="5"/>
      <c r="M84" s="5"/>
      <c r="N84" s="5"/>
      <c r="O84" s="5"/>
      <c r="P84" s="6" t="s">
        <v>37</v>
      </c>
      <c r="Q84" s="6" t="s">
        <v>48</v>
      </c>
      <c r="R84" s="7"/>
      <c r="S84" s="7"/>
      <c r="T84" s="4"/>
      <c r="U84" s="4"/>
      <c r="V84" s="2"/>
      <c r="W84" s="2"/>
    </row>
    <row r="85" spans="1:23" x14ac:dyDescent="0.3">
      <c r="A85" s="1" t="str">
        <f>IF(PATIENTS!C85="","",PATIENTS!A85)</f>
        <v/>
      </c>
      <c r="B85" s="2" t="str">
        <f>IF(PATIENTS!C85="","",PATIENTS!B85)</f>
        <v/>
      </c>
      <c r="C85" s="2" t="str">
        <f>IF(PATIENTS!C85="","",PATIENTS!C85)</f>
        <v/>
      </c>
      <c r="D85" s="1" t="str">
        <f>IF(PATIENTS!C85="","",PATIENTS!D85)</f>
        <v/>
      </c>
      <c r="E85" s="2" t="str">
        <f>IF(PATIENTS!C85="","",PATIENTS!E85)</f>
        <v/>
      </c>
      <c r="F85" s="3"/>
      <c r="G85" s="3"/>
      <c r="H85" s="3"/>
      <c r="I85" s="4"/>
      <c r="J85" s="4"/>
      <c r="K85" s="4"/>
      <c r="L85" s="5"/>
      <c r="M85" s="5"/>
      <c r="N85" s="5"/>
      <c r="O85" s="5"/>
      <c r="P85" s="6"/>
      <c r="Q85" s="6"/>
      <c r="R85" s="7"/>
      <c r="S85" s="7"/>
      <c r="T85" s="4"/>
      <c r="U85" s="4"/>
      <c r="V85" s="2"/>
      <c r="W85" s="2"/>
    </row>
    <row r="86" spans="1:23" x14ac:dyDescent="0.3">
      <c r="A86" s="1">
        <f>IF(PATIENTS!C86="","",PATIENTS!A86)</f>
        <v>85</v>
      </c>
      <c r="B86" s="2" t="str">
        <f>IF(PATIENTS!C86="","",PATIENTS!B86)</f>
        <v>A04</v>
      </c>
      <c r="C86" s="2" t="str">
        <f>IF(PATIENTS!C86="","",PATIENTS!C86)</f>
        <v>ΓΚΑΛΜΑΝΗ</v>
      </c>
      <c r="D86" s="1" t="str">
        <f>IF(PATIENTS!C86="","",PATIENTS!D86)</f>
        <v>Ο</v>
      </c>
      <c r="E86" s="2" t="str">
        <f>IF(PATIENTS!C86="","",PATIENTS!E86)</f>
        <v>παρών</v>
      </c>
      <c r="F86" s="69" t="s">
        <v>30</v>
      </c>
      <c r="G86" s="69" t="s">
        <v>229</v>
      </c>
      <c r="H86" s="69" t="s">
        <v>58</v>
      </c>
      <c r="I86" s="70"/>
      <c r="J86" s="70"/>
      <c r="K86" s="70"/>
      <c r="L86" s="71"/>
      <c r="M86" s="71"/>
      <c r="N86" s="71"/>
      <c r="O86" s="71"/>
      <c r="P86" s="72"/>
      <c r="Q86" s="72"/>
      <c r="R86" s="73"/>
      <c r="S86" s="73"/>
      <c r="T86" s="70"/>
      <c r="U86" s="70"/>
      <c r="V86" s="2"/>
      <c r="W86" s="2"/>
    </row>
    <row r="87" spans="1:23" x14ac:dyDescent="0.3">
      <c r="A87">
        <f>IF(PATIENTS!C87="","",PATIENTS!A87)</f>
        <v>86</v>
      </c>
      <c r="B87" t="str">
        <f>IF(PATIENTS!C87="","",PATIENTS!B87)</f>
        <v>A05</v>
      </c>
      <c r="C87" t="str">
        <f>IF(PATIENTS!C87="","",PATIENTS!C87)</f>
        <v>ΧΡΗΣΤΑΚΟΥ</v>
      </c>
      <c r="D87" t="str">
        <f>IF(PATIENTS!C87="","",PATIENTS!D87)</f>
        <v>Ο</v>
      </c>
      <c r="E87" t="str">
        <f>IF(PATIENTS!C87="","",PATIENTS!E87)</f>
        <v>παρών</v>
      </c>
      <c r="F87" s="75" t="s">
        <v>30</v>
      </c>
      <c r="G87" s="75" t="s">
        <v>229</v>
      </c>
      <c r="H87" s="75" t="s">
        <v>52</v>
      </c>
      <c r="I87" s="74"/>
      <c r="J87" s="74"/>
      <c r="K87" s="74"/>
      <c r="L87" s="75"/>
      <c r="M87" s="75"/>
      <c r="N87" s="75"/>
      <c r="O87" s="75"/>
      <c r="P87" s="76"/>
      <c r="Q87" s="76"/>
      <c r="R87" s="77"/>
      <c r="S87" s="77"/>
      <c r="T87" s="74"/>
      <c r="U87" s="74"/>
    </row>
    <row r="88" spans="1:23" x14ac:dyDescent="0.3">
      <c r="A88">
        <f>IF(PATIENTS!C88="","",PATIENTS!A88)</f>
        <v>87</v>
      </c>
      <c r="B88" t="str">
        <f>IF(PATIENTS!C88="","",PATIENTS!B88)</f>
        <v>A05</v>
      </c>
      <c r="C88" t="str">
        <f>IF(PATIENTS!C88="","",PATIENTS!C88)</f>
        <v>ΓΕΩΡΓΙΟΥ Μ</v>
      </c>
      <c r="D88" t="str">
        <f>IF(PATIENTS!C88="","",PATIENTS!D88)</f>
        <v>Ο</v>
      </c>
      <c r="E88" t="str">
        <f>IF(PATIENTS!C88="","",PATIENTS!E88)</f>
        <v>παρών</v>
      </c>
      <c r="F88" s="75" t="s">
        <v>42</v>
      </c>
      <c r="G88" s="75" t="s">
        <v>229</v>
      </c>
      <c r="H88" s="75" t="s">
        <v>52</v>
      </c>
      <c r="I88" s="74"/>
      <c r="J88" s="74"/>
      <c r="K88" s="74"/>
      <c r="L88" s="75"/>
      <c r="M88" s="75"/>
      <c r="N88" s="75"/>
      <c r="O88" s="75"/>
      <c r="P88" s="76"/>
      <c r="Q88" s="76"/>
      <c r="R88" s="77"/>
      <c r="S88" s="77"/>
      <c r="T88" s="74"/>
      <c r="U88" s="74"/>
    </row>
    <row r="89" spans="1:23" x14ac:dyDescent="0.3">
      <c r="A89">
        <f>IF(PATIENTS!C89="","",PATIENTS!A89)</f>
        <v>88</v>
      </c>
      <c r="B89" t="str">
        <f>IF(PATIENTS!C89="","",PATIENTS!B89)</f>
        <v>A15</v>
      </c>
      <c r="C89" t="str">
        <f>IF(PATIENTS!C89="","",PATIENTS!C89)</f>
        <v>ΣΠΥΡΟΠΟΥΛΟΣ</v>
      </c>
      <c r="D89" t="str">
        <f>IF(PATIENTS!C89="","",PATIENTS!D89)</f>
        <v>Ο</v>
      </c>
      <c r="E89" t="str">
        <f>IF(PATIENTS!C89="","",PATIENTS!E89)</f>
        <v>παρών</v>
      </c>
      <c r="F89" s="75" t="s">
        <v>30</v>
      </c>
      <c r="G89" s="75" t="s">
        <v>229</v>
      </c>
      <c r="H89" s="75" t="s">
        <v>53</v>
      </c>
      <c r="I89" s="74"/>
      <c r="J89" s="74"/>
      <c r="K89" s="74"/>
      <c r="L89" s="75"/>
      <c r="M89" s="75"/>
      <c r="N89" s="75"/>
      <c r="O89" s="75"/>
      <c r="P89" s="76"/>
      <c r="Q89" s="76"/>
      <c r="R89" s="77"/>
      <c r="S89" s="77"/>
      <c r="T89" s="74"/>
      <c r="U89" s="74"/>
    </row>
    <row r="90" spans="1:23" x14ac:dyDescent="0.3">
      <c r="A90">
        <f>IF(PATIENTS!C90="","",PATIENTS!A90)</f>
        <v>89</v>
      </c>
      <c r="B90" t="str">
        <f>IF(PATIENTS!C90="","",PATIENTS!B90)</f>
        <v>A15</v>
      </c>
      <c r="C90" t="str">
        <f>IF(PATIENTS!C90="","",PATIENTS!C90)</f>
        <v>ΚΑΦΕΤΖΗΣ</v>
      </c>
      <c r="D90" t="str">
        <f>IF(PATIENTS!C90="","",PATIENTS!D90)</f>
        <v>Ο</v>
      </c>
      <c r="E90" t="str">
        <f>IF(PATIENTS!C90="","",PATIENTS!E90)</f>
        <v>παρών</v>
      </c>
      <c r="F90" s="75" t="s">
        <v>44</v>
      </c>
      <c r="G90" s="75" t="s">
        <v>229</v>
      </c>
      <c r="H90" s="75" t="s">
        <v>58</v>
      </c>
      <c r="I90" s="74"/>
      <c r="J90" s="74"/>
      <c r="K90" s="74"/>
      <c r="L90" s="75"/>
      <c r="M90" s="75"/>
      <c r="N90" s="75"/>
      <c r="O90" s="75"/>
      <c r="P90" s="76"/>
      <c r="Q90" s="76"/>
      <c r="R90" s="77"/>
      <c r="S90" s="77"/>
      <c r="T90" s="74"/>
      <c r="U90" s="74"/>
    </row>
    <row r="91" spans="1:23" x14ac:dyDescent="0.3">
      <c r="A91">
        <f>IF(PATIENTS!C91="","",PATIENTS!A91)</f>
        <v>90</v>
      </c>
      <c r="B91" t="str">
        <f>IF(PATIENTS!C91="","",PATIENTS!B91)</f>
        <v>B02</v>
      </c>
      <c r="C91" t="str">
        <f>IF(PATIENTS!C91="","",PATIENTS!C91)</f>
        <v>ΠΑΠΑΓΕΩΡΓΙΟΥ</v>
      </c>
      <c r="D91" t="str">
        <f>IF(PATIENTS!C91="","",PATIENTS!D91)</f>
        <v>Ο</v>
      </c>
      <c r="E91" t="str">
        <f>IF(PATIENTS!C91="","",PATIENTS!E91)</f>
        <v>παρών</v>
      </c>
      <c r="F91" s="75" t="s">
        <v>44</v>
      </c>
      <c r="G91" s="75" t="s">
        <v>229</v>
      </c>
      <c r="H91" s="75" t="s">
        <v>47</v>
      </c>
      <c r="I91" s="74"/>
      <c r="J91" s="74"/>
      <c r="K91" s="74"/>
      <c r="L91" s="75"/>
      <c r="M91" s="75"/>
      <c r="N91" s="75"/>
      <c r="O91" s="75"/>
      <c r="P91" s="76"/>
      <c r="Q91" s="76"/>
      <c r="R91" s="77"/>
      <c r="S91" s="77"/>
      <c r="T91" s="74"/>
      <c r="U91" s="74"/>
    </row>
    <row r="92" spans="1:23" x14ac:dyDescent="0.3">
      <c r="A92">
        <f>IF(PATIENTS!C92="","",PATIENTS!A92)</f>
        <v>91</v>
      </c>
      <c r="B92" t="str">
        <f>IF(PATIENTS!C92="","",PATIENTS!B92)</f>
        <v>B03</v>
      </c>
      <c r="C92" t="str">
        <f>IF(PATIENTS!C92="","",PATIENTS!C92)</f>
        <v>ΚΑΠΑΘΑΝΑΣΗ</v>
      </c>
      <c r="D92" t="str">
        <f>IF(PATIENTS!C92="","",PATIENTS!D92)</f>
        <v>Ο</v>
      </c>
      <c r="E92" t="str">
        <f>IF(PATIENTS!C92="","",PATIENTS!E92)</f>
        <v>παρών</v>
      </c>
      <c r="F92" s="75" t="s">
        <v>30</v>
      </c>
      <c r="G92" s="75" t="s">
        <v>229</v>
      </c>
      <c r="H92" s="75" t="s">
        <v>43</v>
      </c>
      <c r="I92" s="74"/>
      <c r="J92" s="74"/>
      <c r="K92" s="74"/>
      <c r="L92" s="75"/>
      <c r="M92" s="75"/>
      <c r="N92" s="75"/>
      <c r="O92" s="75"/>
      <c r="P92" s="76"/>
      <c r="Q92" s="76"/>
      <c r="R92" s="77"/>
      <c r="S92" s="77"/>
      <c r="T92" s="74"/>
      <c r="U92" s="74"/>
    </row>
    <row r="93" spans="1:23" x14ac:dyDescent="0.3">
      <c r="A93">
        <f>IF(PATIENTS!C93="","",PATIENTS!A93)</f>
        <v>92</v>
      </c>
      <c r="B93" t="str">
        <f>IF(PATIENTS!C93="","",PATIENTS!B93)</f>
        <v>B04</v>
      </c>
      <c r="C93" t="str">
        <f>IF(PATIENTS!C93="","",PATIENTS!C93)</f>
        <v>ΧΑΤΖΗΑΝΑΣΤΑΣΙΟΥ</v>
      </c>
      <c r="D93" t="str">
        <f>IF(PATIENTS!C93="","",PATIENTS!D93)</f>
        <v>Ο</v>
      </c>
      <c r="E93" t="str">
        <f>IF(PATIENTS!C93="","",PATIENTS!E93)</f>
        <v>παρών</v>
      </c>
      <c r="F93" s="75" t="s">
        <v>36</v>
      </c>
      <c r="G93" s="75" t="s">
        <v>229</v>
      </c>
      <c r="H93" s="75" t="s">
        <v>46</v>
      </c>
      <c r="I93" s="74"/>
      <c r="J93" s="74"/>
      <c r="K93" s="74"/>
      <c r="L93" s="75"/>
      <c r="M93" s="75"/>
      <c r="N93" s="75"/>
      <c r="O93" s="75"/>
      <c r="P93" s="76"/>
      <c r="Q93" s="76"/>
      <c r="R93" s="77"/>
      <c r="S93" s="77"/>
      <c r="T93" s="74"/>
      <c r="U93" s="74"/>
    </row>
    <row r="94" spans="1:23" x14ac:dyDescent="0.3">
      <c r="A94">
        <f>IF(PATIENTS!C94="","",PATIENTS!A94)</f>
        <v>93</v>
      </c>
      <c r="B94" t="str">
        <f>IF(PATIENTS!C94="","",PATIENTS!B94)</f>
        <v>B05</v>
      </c>
      <c r="C94" t="str">
        <f>IF(PATIENTS!C94="","",PATIENTS!C94)</f>
        <v>ΟΡΦΑΝΑΚΟΣ</v>
      </c>
      <c r="D94" t="str">
        <f>IF(PATIENTS!C94="","",PATIENTS!D94)</f>
        <v>Ο</v>
      </c>
      <c r="E94" t="str">
        <f>IF(PATIENTS!C94="","",PATIENTS!E94)</f>
        <v>παρών</v>
      </c>
      <c r="F94" s="75" t="s">
        <v>42</v>
      </c>
      <c r="G94" s="75" t="s">
        <v>229</v>
      </c>
      <c r="H94" s="75" t="s">
        <v>49</v>
      </c>
      <c r="I94" s="74"/>
      <c r="J94" s="74"/>
      <c r="K94" s="74"/>
      <c r="L94" s="75"/>
      <c r="M94" s="75"/>
      <c r="N94" s="75"/>
      <c r="O94" s="75"/>
      <c r="P94" s="76"/>
      <c r="Q94" s="76"/>
      <c r="R94" s="77"/>
      <c r="S94" s="77"/>
      <c r="T94" s="74"/>
      <c r="U94" s="74"/>
    </row>
    <row r="95" spans="1:23" x14ac:dyDescent="0.3">
      <c r="A95">
        <f>IF(PATIENTS!C95="","",PATIENTS!A95)</f>
        <v>94</v>
      </c>
      <c r="B95" t="str">
        <f>IF(PATIENTS!C95="","",PATIENTS!B95)</f>
        <v>B07</v>
      </c>
      <c r="C95" t="str">
        <f>IF(PATIENTS!C95="","",PATIENTS!C95)</f>
        <v>ΑΛΜΑΣΙΔΗΣ</v>
      </c>
      <c r="D95" t="str">
        <f>IF(PATIENTS!C95="","",PATIENTS!D95)</f>
        <v>Ο</v>
      </c>
      <c r="E95" t="str">
        <f>IF(PATIENTS!C95="","",PATIENTS!E95)</f>
        <v>παρών</v>
      </c>
      <c r="F95" s="75" t="s">
        <v>36</v>
      </c>
      <c r="G95" s="75" t="s">
        <v>229</v>
      </c>
      <c r="H95" s="75" t="s">
        <v>41</v>
      </c>
      <c r="I95" s="74"/>
      <c r="J95" s="74"/>
      <c r="K95" s="74"/>
      <c r="L95" s="75"/>
      <c r="M95" s="75"/>
      <c r="N95" s="75"/>
      <c r="O95" s="75"/>
      <c r="P95" s="76"/>
      <c r="Q95" s="76"/>
      <c r="R95" s="77"/>
      <c r="S95" s="77"/>
      <c r="T95" s="74"/>
      <c r="U95" s="74"/>
    </row>
    <row r="96" spans="1:23" x14ac:dyDescent="0.3">
      <c r="A96">
        <f>IF(PATIENTS!C96="","",PATIENTS!A96)</f>
        <v>95</v>
      </c>
      <c r="B96" t="str">
        <f>IF(PATIENTS!C96="","",PATIENTS!B96)</f>
        <v>B09</v>
      </c>
      <c r="C96" t="str">
        <f>IF(PATIENTS!C96="","",PATIENTS!C96)</f>
        <v>ΡΑΠΤΟΠΟΥΛΟΣ</v>
      </c>
      <c r="D96" t="str">
        <f>IF(PATIENTS!C96="","",PATIENTS!D96)</f>
        <v>Ν</v>
      </c>
      <c r="E96" t="str">
        <f>IF(PATIENTS!C96="","",PATIENTS!E96)</f>
        <v>παρών</v>
      </c>
      <c r="F96" s="75" t="s">
        <v>39</v>
      </c>
      <c r="G96" s="75" t="s">
        <v>229</v>
      </c>
      <c r="H96" s="75" t="s">
        <v>55</v>
      </c>
      <c r="I96" s="74"/>
      <c r="J96" s="74"/>
      <c r="K96" s="74"/>
      <c r="L96" s="75"/>
      <c r="M96" s="75"/>
      <c r="N96" s="75"/>
      <c r="O96" s="75"/>
      <c r="P96" s="76"/>
      <c r="Q96" s="76"/>
      <c r="R96" s="77"/>
      <c r="S96" s="77"/>
      <c r="T96" s="74"/>
      <c r="U96" s="74"/>
    </row>
    <row r="97" spans="1:21" x14ac:dyDescent="0.3">
      <c r="A97">
        <f>IF(PATIENTS!C97="","",PATIENTS!A97)</f>
        <v>96</v>
      </c>
      <c r="B97" t="str">
        <f>IF(PATIENTS!C97="","",PATIENTS!B97)</f>
        <v>B10</v>
      </c>
      <c r="C97" t="str">
        <f>IF(PATIENTS!C97="","",PATIENTS!C97)</f>
        <v>ΓΕΩΡΓΙΑΔΗΣ ΓΕΩ</v>
      </c>
      <c r="D97" t="str">
        <f>IF(PATIENTS!C97="","",PATIENTS!D97)</f>
        <v>Ν</v>
      </c>
      <c r="E97" t="str">
        <f>IF(PATIENTS!C97="","",PATIENTS!E97)</f>
        <v>παρών</v>
      </c>
      <c r="F97" s="75" t="s">
        <v>37</v>
      </c>
      <c r="G97" s="75" t="s">
        <v>229</v>
      </c>
      <c r="H97" s="75" t="s">
        <v>46</v>
      </c>
      <c r="I97" s="74"/>
      <c r="J97" s="74"/>
      <c r="K97" s="74"/>
      <c r="L97" s="75"/>
      <c r="M97" s="75"/>
      <c r="N97" s="75"/>
      <c r="O97" s="75"/>
      <c r="P97" s="76"/>
      <c r="Q97" s="76"/>
      <c r="R97" s="77"/>
      <c r="S97" s="77"/>
      <c r="T97" s="74"/>
      <c r="U97" s="74"/>
    </row>
    <row r="98" spans="1:21" x14ac:dyDescent="0.3">
      <c r="A98">
        <f>IF(PATIENTS!C98="","",PATIENTS!A98)</f>
        <v>97</v>
      </c>
      <c r="B98" t="str">
        <f>IF(PATIENTS!C98="","",PATIENTS!B98)</f>
        <v>B15</v>
      </c>
      <c r="C98" t="str">
        <f>IF(PATIENTS!C98="","",PATIENTS!C98)</f>
        <v>DAYA HEIDE</v>
      </c>
      <c r="D98" t="str">
        <f>IF(PATIENTS!C98="","",PATIENTS!D98)</f>
        <v>Ο</v>
      </c>
      <c r="E98" t="str">
        <f>IF(PATIENTS!C98="","",PATIENTS!E98)</f>
        <v>παρών</v>
      </c>
      <c r="F98" s="75" t="s">
        <v>42</v>
      </c>
      <c r="G98" s="75" t="s">
        <v>229</v>
      </c>
      <c r="H98" s="75" t="s">
        <v>58</v>
      </c>
      <c r="I98" s="74"/>
      <c r="J98" s="74"/>
      <c r="K98" s="74"/>
      <c r="L98" s="75"/>
      <c r="M98" s="75"/>
      <c r="N98" s="75"/>
      <c r="O98" s="75"/>
      <c r="P98" s="76" t="s">
        <v>39</v>
      </c>
      <c r="Q98" s="76" t="s">
        <v>229</v>
      </c>
      <c r="R98" s="77"/>
      <c r="S98" s="77"/>
      <c r="T98" s="74"/>
      <c r="U98" s="74"/>
    </row>
    <row r="99" spans="1:21" x14ac:dyDescent="0.3">
      <c r="A99" t="str">
        <f>IF(PATIENTS!C99="","",PATIENTS!A99)</f>
        <v/>
      </c>
      <c r="B99" t="str">
        <f>IF(PATIENTS!C99="","",PATIENTS!B99)</f>
        <v/>
      </c>
      <c r="C99" t="str">
        <f>IF(PATIENTS!C99="","",PATIENTS!C99)</f>
        <v/>
      </c>
      <c r="D99" t="str">
        <f>IF(PATIENTS!C99="","",PATIENTS!D99)</f>
        <v/>
      </c>
      <c r="E99" t="str">
        <f>IF(PATIENTS!C99="","",PATIENTS!E99)</f>
        <v/>
      </c>
      <c r="F99" s="75"/>
      <c r="G99" s="75"/>
      <c r="H99" s="75"/>
      <c r="I99" s="74"/>
      <c r="J99" s="74"/>
      <c r="K99" s="74"/>
      <c r="L99" s="75"/>
      <c r="M99" s="75"/>
      <c r="N99" s="75"/>
      <c r="O99" s="75"/>
      <c r="P99" s="76"/>
      <c r="Q99" s="76"/>
      <c r="R99" s="77"/>
      <c r="S99" s="77"/>
      <c r="T99" s="74"/>
      <c r="U99" s="74"/>
    </row>
    <row r="100" spans="1:21" x14ac:dyDescent="0.3">
      <c r="A100" t="str">
        <f>IF(PATIENTS!C100="","",PATIENTS!A100)</f>
        <v/>
      </c>
      <c r="B100" t="str">
        <f>IF(PATIENTS!C100="","",PATIENTS!B100)</f>
        <v/>
      </c>
      <c r="C100" t="str">
        <f>IF(PATIENTS!C100="","",PATIENTS!C100)</f>
        <v/>
      </c>
      <c r="D100" t="str">
        <f>IF(PATIENTS!C100="","",PATIENTS!D100)</f>
        <v/>
      </c>
      <c r="E100" t="str">
        <f>IF(PATIENTS!C100="","",PATIENTS!E100)</f>
        <v/>
      </c>
      <c r="F100" s="75"/>
      <c r="G100" s="75"/>
      <c r="H100" s="75"/>
      <c r="I100" s="74"/>
      <c r="J100" s="74"/>
      <c r="K100" s="74"/>
      <c r="L100" s="75"/>
      <c r="M100" s="75"/>
      <c r="N100" s="75"/>
      <c r="O100" s="75"/>
      <c r="P100" s="76"/>
      <c r="Q100" s="76"/>
      <c r="R100" s="77"/>
      <c r="S100" s="77"/>
      <c r="T100" s="74"/>
      <c r="U100" s="74"/>
    </row>
    <row r="101" spans="1:21" x14ac:dyDescent="0.3">
      <c r="A101" t="str">
        <f>IF(PATIENTS!C101="","",PATIENTS!A101)</f>
        <v/>
      </c>
      <c r="B101" t="str">
        <f>IF(PATIENTS!C101="","",PATIENTS!B101)</f>
        <v/>
      </c>
      <c r="C101" t="str">
        <f>IF(PATIENTS!C101="","",PATIENTS!C101)</f>
        <v/>
      </c>
      <c r="D101" t="str">
        <f>IF(PATIENTS!C101="","",PATIENTS!D101)</f>
        <v/>
      </c>
      <c r="E101" t="str">
        <f>IF(PATIENTS!C101="","",PATIENTS!E101)</f>
        <v/>
      </c>
    </row>
    <row r="102" spans="1:21" x14ac:dyDescent="0.3">
      <c r="A102" t="str">
        <f>IF(PATIENTS!C102="","",PATIENTS!A102)</f>
        <v/>
      </c>
      <c r="B102" t="str">
        <f>IF(PATIENTS!C102="","",PATIENTS!B102)</f>
        <v/>
      </c>
      <c r="C102" t="str">
        <f>IF(PATIENTS!C102="","",PATIENTS!C102)</f>
        <v/>
      </c>
      <c r="D102" t="str">
        <f>IF(PATIENTS!C102="","",PATIENTS!D102)</f>
        <v/>
      </c>
      <c r="E102" t="str">
        <f>IF(PATIENTS!C102="","",PATIENTS!E102)</f>
        <v/>
      </c>
    </row>
    <row r="103" spans="1:21" x14ac:dyDescent="0.3">
      <c r="A103" t="str">
        <f>IF(PATIENTS!C103="","",PATIENTS!A103)</f>
        <v/>
      </c>
      <c r="B103" t="str">
        <f>IF(PATIENTS!C103="","",PATIENTS!B103)</f>
        <v/>
      </c>
      <c r="C103" t="str">
        <f>IF(PATIENTS!C103="","",PATIENTS!C103)</f>
        <v/>
      </c>
      <c r="D103" t="str">
        <f>IF(PATIENTS!C103="","",PATIENTS!D103)</f>
        <v/>
      </c>
      <c r="E103" t="str">
        <f>IF(PATIENTS!C103="","",PATIENTS!E103)</f>
        <v/>
      </c>
    </row>
    <row r="104" spans="1:21" x14ac:dyDescent="0.3">
      <c r="A104" t="str">
        <f>IF(PATIENTS!C104="","",PATIENTS!A104)</f>
        <v/>
      </c>
      <c r="B104" t="str">
        <f>IF(PATIENTS!C104="","",PATIENTS!B104)</f>
        <v/>
      </c>
      <c r="C104" t="str">
        <f>IF(PATIENTS!C104="","",PATIENTS!C104)</f>
        <v/>
      </c>
      <c r="D104" t="str">
        <f>IF(PATIENTS!C104="","",PATIENTS!D104)</f>
        <v/>
      </c>
      <c r="E104" t="str">
        <f>IF(PATIENTS!C104="","",PATIENTS!E104)</f>
        <v/>
      </c>
    </row>
    <row r="105" spans="1:21" x14ac:dyDescent="0.3">
      <c r="A105" t="str">
        <f>IF(PATIENTS!C105="","",PATIENTS!A105)</f>
        <v/>
      </c>
      <c r="B105" t="str">
        <f>IF(PATIENTS!C105="","",PATIENTS!B105)</f>
        <v/>
      </c>
      <c r="C105" t="str">
        <f>IF(PATIENTS!C105="","",PATIENTS!C105)</f>
        <v/>
      </c>
      <c r="D105" t="str">
        <f>IF(PATIENTS!C105="","",PATIENTS!D105)</f>
        <v/>
      </c>
      <c r="E105" t="str">
        <f>IF(PATIENTS!C105="","",PATIENTS!E105)</f>
        <v/>
      </c>
    </row>
    <row r="106" spans="1:21" x14ac:dyDescent="0.3">
      <c r="A106" t="str">
        <f>IF(PATIENTS!C106="","",PATIENTS!A106)</f>
        <v/>
      </c>
      <c r="B106" t="str">
        <f>IF(PATIENTS!C106="","",PATIENTS!B106)</f>
        <v/>
      </c>
      <c r="C106" t="str">
        <f>IF(PATIENTS!C106="","",PATIENTS!C106)</f>
        <v/>
      </c>
      <c r="D106" t="str">
        <f>IF(PATIENTS!C106="","",PATIENTS!D106)</f>
        <v/>
      </c>
      <c r="E106" t="str">
        <f>IF(PATIENTS!C106="","",PATIENTS!E106)</f>
        <v/>
      </c>
    </row>
    <row r="107" spans="1:21" x14ac:dyDescent="0.3">
      <c r="A107" t="str">
        <f>IF(PATIENTS!C107="","",PATIENTS!A107)</f>
        <v/>
      </c>
      <c r="B107" t="str">
        <f>IF(PATIENTS!C107="","",PATIENTS!B107)</f>
        <v/>
      </c>
      <c r="C107" t="str">
        <f>IF(PATIENTS!C107="","",PATIENTS!C107)</f>
        <v/>
      </c>
      <c r="D107" t="str">
        <f>IF(PATIENTS!C107="","",PATIENTS!D107)</f>
        <v/>
      </c>
      <c r="E107" t="str">
        <f>IF(PATIENTS!C107="","",PATIENTS!E107)</f>
        <v/>
      </c>
    </row>
    <row r="108" spans="1:21" x14ac:dyDescent="0.3">
      <c r="A108" t="str">
        <f>IF(PATIENTS!C108="","",PATIENTS!A108)</f>
        <v/>
      </c>
      <c r="B108" t="str">
        <f>IF(PATIENTS!C108="","",PATIENTS!B108)</f>
        <v/>
      </c>
      <c r="C108" t="str">
        <f>IF(PATIENTS!C108="","",PATIENTS!C108)</f>
        <v/>
      </c>
      <c r="D108" t="str">
        <f>IF(PATIENTS!C108="","",PATIENTS!D108)</f>
        <v/>
      </c>
      <c r="E108" t="str">
        <f>IF(PATIENTS!C108="","",PATIENTS!E108)</f>
        <v/>
      </c>
    </row>
    <row r="109" spans="1:21" x14ac:dyDescent="0.3">
      <c r="A109" t="str">
        <f>IF(PATIENTS!C109="","",PATIENTS!A109)</f>
        <v/>
      </c>
      <c r="B109" t="str">
        <f>IF(PATIENTS!C109="","",PATIENTS!B109)</f>
        <v/>
      </c>
      <c r="C109" t="str">
        <f>IF(PATIENTS!C109="","",PATIENTS!C109)</f>
        <v/>
      </c>
      <c r="D109" t="str">
        <f>IF(PATIENTS!C109="","",PATIENTS!D109)</f>
        <v/>
      </c>
      <c r="E109" t="str">
        <f>IF(PATIENTS!C109="","",PATIENTS!E109)</f>
        <v/>
      </c>
    </row>
    <row r="110" spans="1:21" x14ac:dyDescent="0.3">
      <c r="A110" t="str">
        <f>IF(PATIENTS!C110="","",PATIENTS!A110)</f>
        <v/>
      </c>
      <c r="B110" t="str">
        <f>IF(PATIENTS!C110="","",PATIENTS!B110)</f>
        <v/>
      </c>
      <c r="C110" t="str">
        <f>IF(PATIENTS!C110="","",PATIENTS!C110)</f>
        <v/>
      </c>
      <c r="D110" t="str">
        <f>IF(PATIENTS!C110="","",PATIENTS!D110)</f>
        <v/>
      </c>
      <c r="E110" t="str">
        <f>IF(PATIENTS!C110="","",PATIENTS!E110)</f>
        <v/>
      </c>
    </row>
    <row r="111" spans="1:21" x14ac:dyDescent="0.3">
      <c r="A111" t="str">
        <f>IF(PATIENTS!C111="","",PATIENTS!A111)</f>
        <v/>
      </c>
      <c r="B111" t="str">
        <f>IF(PATIENTS!C111="","",PATIENTS!B111)</f>
        <v/>
      </c>
      <c r="C111" t="str">
        <f>IF(PATIENTS!C111="","",PATIENTS!C111)</f>
        <v/>
      </c>
      <c r="D111" t="str">
        <f>IF(PATIENTS!C111="","",PATIENTS!D111)</f>
        <v/>
      </c>
      <c r="E111" t="str">
        <f>IF(PATIENTS!C111="","",PATIENTS!E111)</f>
        <v/>
      </c>
    </row>
    <row r="112" spans="1:21" x14ac:dyDescent="0.3">
      <c r="A112" t="str">
        <f>IF(PATIENTS!C112="","",PATIENTS!A112)</f>
        <v/>
      </c>
      <c r="B112" t="str">
        <f>IF(PATIENTS!C112="","",PATIENTS!B112)</f>
        <v/>
      </c>
      <c r="C112" t="str">
        <f>IF(PATIENTS!C112="","",PATIENTS!C112)</f>
        <v/>
      </c>
      <c r="D112" t="str">
        <f>IF(PATIENTS!C112="","",PATIENTS!D112)</f>
        <v/>
      </c>
      <c r="E112" t="str">
        <f>IF(PATIENTS!C112="","",PATIENTS!E112)</f>
        <v/>
      </c>
    </row>
    <row r="113" spans="1:5" x14ac:dyDescent="0.3">
      <c r="A113" t="str">
        <f>IF(PATIENTS!C113="","",PATIENTS!A113)</f>
        <v/>
      </c>
      <c r="B113" t="str">
        <f>IF(PATIENTS!C113="","",PATIENTS!B113)</f>
        <v/>
      </c>
      <c r="C113" t="str">
        <f>IF(PATIENTS!C113="","",PATIENTS!C113)</f>
        <v/>
      </c>
      <c r="D113" t="str">
        <f>IF(PATIENTS!C113="","",PATIENTS!D113)</f>
        <v/>
      </c>
      <c r="E113" t="str">
        <f>IF(PATIENTS!C113="","",PATIENTS!E113)</f>
        <v/>
      </c>
    </row>
    <row r="114" spans="1:5" x14ac:dyDescent="0.3">
      <c r="A114" t="str">
        <f>IF(PATIENTS!C114="","",PATIENTS!A114)</f>
        <v/>
      </c>
      <c r="B114" t="str">
        <f>IF(PATIENTS!C114="","",PATIENTS!B114)</f>
        <v/>
      </c>
      <c r="C114" t="str">
        <f>IF(PATIENTS!C114="","",PATIENTS!C114)</f>
        <v/>
      </c>
      <c r="D114" t="str">
        <f>IF(PATIENTS!C114="","",PATIENTS!D114)</f>
        <v/>
      </c>
      <c r="E114" t="str">
        <f>IF(PATIENTS!C114="","",PATIENTS!E114)</f>
        <v/>
      </c>
    </row>
    <row r="115" spans="1:5" x14ac:dyDescent="0.3">
      <c r="A115" t="str">
        <f>IF(PATIENTS!C115="","",PATIENTS!A115)</f>
        <v/>
      </c>
      <c r="B115" t="str">
        <f>IF(PATIENTS!C115="","",PATIENTS!B115)</f>
        <v/>
      </c>
      <c r="C115" t="str">
        <f>IF(PATIENTS!C115="","",PATIENTS!C115)</f>
        <v/>
      </c>
      <c r="D115" t="str">
        <f>IF(PATIENTS!C115="","",PATIENTS!D115)</f>
        <v/>
      </c>
      <c r="E115" t="str">
        <f>IF(PATIENTS!C115="","",PATIENTS!E115)</f>
        <v/>
      </c>
    </row>
    <row r="116" spans="1:5" x14ac:dyDescent="0.3">
      <c r="A116" t="str">
        <f>IF(PATIENTS!C116="","",PATIENTS!A116)</f>
        <v/>
      </c>
      <c r="B116" t="str">
        <f>IF(PATIENTS!C116="","",PATIENTS!B116)</f>
        <v/>
      </c>
      <c r="C116" t="str">
        <f>IF(PATIENTS!C116="","",PATIENTS!C116)</f>
        <v/>
      </c>
      <c r="D116" t="str">
        <f>IF(PATIENTS!C116="","",PATIENTS!D116)</f>
        <v/>
      </c>
      <c r="E116" t="str">
        <f>IF(PATIENTS!C116="","",PATIENTS!E116)</f>
        <v/>
      </c>
    </row>
    <row r="117" spans="1:5" x14ac:dyDescent="0.3">
      <c r="A117" t="str">
        <f>IF(PATIENTS!C117="","",PATIENTS!A117)</f>
        <v/>
      </c>
      <c r="B117" t="str">
        <f>IF(PATIENTS!C117="","",PATIENTS!B117)</f>
        <v/>
      </c>
      <c r="C117" t="str">
        <f>IF(PATIENTS!C117="","",PATIENTS!C117)</f>
        <v/>
      </c>
      <c r="D117" t="str">
        <f>IF(PATIENTS!C117="","",PATIENTS!D117)</f>
        <v/>
      </c>
      <c r="E117" t="str">
        <f>IF(PATIENTS!C117="","",PATIENTS!E117)</f>
        <v/>
      </c>
    </row>
    <row r="118" spans="1:5" x14ac:dyDescent="0.3">
      <c r="A118" t="str">
        <f>IF(PATIENTS!C118="","",PATIENTS!A118)</f>
        <v/>
      </c>
      <c r="B118" t="str">
        <f>IF(PATIENTS!C118="","",PATIENTS!B118)</f>
        <v/>
      </c>
      <c r="C118" t="str">
        <f>IF(PATIENTS!C118="","",PATIENTS!C118)</f>
        <v/>
      </c>
      <c r="D118" t="str">
        <f>IF(PATIENTS!C118="","",PATIENTS!D118)</f>
        <v/>
      </c>
      <c r="E118" t="str">
        <f>IF(PATIENTS!C118="","",PATIENTS!E118)</f>
        <v/>
      </c>
    </row>
    <row r="119" spans="1:5" x14ac:dyDescent="0.3">
      <c r="A119" t="str">
        <f>IF(PATIENTS!C119="","",PATIENTS!A119)</f>
        <v/>
      </c>
      <c r="B119" t="str">
        <f>IF(PATIENTS!C119="","",PATIENTS!B119)</f>
        <v/>
      </c>
      <c r="C119" t="str">
        <f>IF(PATIENTS!C119="","",PATIENTS!C119)</f>
        <v/>
      </c>
      <c r="D119" t="str">
        <f>IF(PATIENTS!C119="","",PATIENTS!D119)</f>
        <v/>
      </c>
      <c r="E119" t="str">
        <f>IF(PATIENTS!C119="","",PATIENTS!E119)</f>
        <v/>
      </c>
    </row>
    <row r="120" spans="1:5" x14ac:dyDescent="0.3">
      <c r="A120" t="str">
        <f>IF(PATIENTS!C120="","",PATIENTS!A120)</f>
        <v/>
      </c>
      <c r="B120" t="str">
        <f>IF(PATIENTS!C120="","",PATIENTS!B120)</f>
        <v/>
      </c>
      <c r="C120" t="str">
        <f>IF(PATIENTS!C120="","",PATIENTS!C120)</f>
        <v/>
      </c>
      <c r="D120" t="str">
        <f>IF(PATIENTS!C120="","",PATIENTS!D120)</f>
        <v/>
      </c>
      <c r="E120" t="str">
        <f>IF(PATIENTS!C120="","",PATIENTS!E120)</f>
        <v/>
      </c>
    </row>
    <row r="121" spans="1:5" x14ac:dyDescent="0.3">
      <c r="A121" t="str">
        <f>IF(PATIENTS!C121="","",PATIENTS!A121)</f>
        <v/>
      </c>
      <c r="B121" t="str">
        <f>IF(PATIENTS!C121="","",PATIENTS!B121)</f>
        <v/>
      </c>
      <c r="C121" t="str">
        <f>IF(PATIENTS!C121="","",PATIENTS!C121)</f>
        <v/>
      </c>
      <c r="D121" t="str">
        <f>IF(PATIENTS!C121="","",PATIENTS!D121)</f>
        <v/>
      </c>
      <c r="E121" t="str">
        <f>IF(PATIENTS!C121="","",PATIENTS!E121)</f>
        <v/>
      </c>
    </row>
    <row r="122" spans="1:5" x14ac:dyDescent="0.3">
      <c r="A122" t="str">
        <f>IF(PATIENTS!C122="","",PATIENTS!A122)</f>
        <v/>
      </c>
      <c r="B122" t="str">
        <f>IF(PATIENTS!C122="","",PATIENTS!B122)</f>
        <v/>
      </c>
      <c r="C122" t="str">
        <f>IF(PATIENTS!C122="","",PATIENTS!C122)</f>
        <v/>
      </c>
      <c r="D122" t="str">
        <f>IF(PATIENTS!C122="","",PATIENTS!D122)</f>
        <v/>
      </c>
      <c r="E122" t="str">
        <f>IF(PATIENTS!C122="","",PATIENTS!E122)</f>
        <v/>
      </c>
    </row>
    <row r="123" spans="1:5" x14ac:dyDescent="0.3">
      <c r="A123" t="str">
        <f>IF(PATIENTS!C123="","",PATIENTS!A123)</f>
        <v/>
      </c>
      <c r="B123" t="str">
        <f>IF(PATIENTS!C123="","",PATIENTS!B123)</f>
        <v/>
      </c>
      <c r="C123" t="str">
        <f>IF(PATIENTS!C123="","",PATIENTS!C123)</f>
        <v/>
      </c>
      <c r="D123" t="str">
        <f>IF(PATIENTS!C123="","",PATIENTS!D123)</f>
        <v/>
      </c>
      <c r="E123" t="str">
        <f>IF(PATIENTS!C123="","",PATIENTS!E123)</f>
        <v/>
      </c>
    </row>
    <row r="124" spans="1:5" x14ac:dyDescent="0.3">
      <c r="A124" t="str">
        <f>IF(PATIENTS!C124="","",PATIENTS!A124)</f>
        <v/>
      </c>
      <c r="B124" t="str">
        <f>IF(PATIENTS!C124="","",PATIENTS!B124)</f>
        <v/>
      </c>
      <c r="C124" t="str">
        <f>IF(PATIENTS!C124="","",PATIENTS!C124)</f>
        <v/>
      </c>
      <c r="D124" t="str">
        <f>IF(PATIENTS!C124="","",PATIENTS!D124)</f>
        <v/>
      </c>
      <c r="E124" t="str">
        <f>IF(PATIENTS!C124="","",PATIENTS!E124)</f>
        <v/>
      </c>
    </row>
    <row r="125" spans="1:5" x14ac:dyDescent="0.3">
      <c r="A125" t="str">
        <f>IF(PATIENTS!C125="","",PATIENTS!A125)</f>
        <v/>
      </c>
      <c r="B125" t="str">
        <f>IF(PATIENTS!C125="","",PATIENTS!B125)</f>
        <v/>
      </c>
      <c r="C125" t="str">
        <f>IF(PATIENTS!C125="","",PATIENTS!C125)</f>
        <v/>
      </c>
      <c r="D125" t="str">
        <f>IF(PATIENTS!C125="","",PATIENTS!D125)</f>
        <v/>
      </c>
      <c r="E125" t="str">
        <f>IF(PATIENTS!C125="","",PATIENTS!E125)</f>
        <v/>
      </c>
    </row>
    <row r="126" spans="1:5" x14ac:dyDescent="0.3">
      <c r="A126" t="str">
        <f>IF(PATIENTS!C126="","",PATIENTS!A126)</f>
        <v/>
      </c>
      <c r="B126" t="str">
        <f>IF(PATIENTS!C126="","",PATIENTS!B126)</f>
        <v/>
      </c>
      <c r="C126" t="str">
        <f>IF(PATIENTS!C126="","",PATIENTS!C126)</f>
        <v/>
      </c>
      <c r="D126" t="str">
        <f>IF(PATIENTS!C126="","",PATIENTS!D126)</f>
        <v/>
      </c>
      <c r="E126" t="str">
        <f>IF(PATIENTS!C126="","",PATIENTS!E126)</f>
        <v/>
      </c>
    </row>
    <row r="127" spans="1:5" x14ac:dyDescent="0.3">
      <c r="A127" t="str">
        <f>IF(PATIENTS!C127="","",PATIENTS!A127)</f>
        <v/>
      </c>
      <c r="B127" t="str">
        <f>IF(PATIENTS!C127="","",PATIENTS!B127)</f>
        <v/>
      </c>
      <c r="C127" t="str">
        <f>IF(PATIENTS!C127="","",PATIENTS!C127)</f>
        <v/>
      </c>
      <c r="D127" t="str">
        <f>IF(PATIENTS!C127="","",PATIENTS!D127)</f>
        <v/>
      </c>
      <c r="E127" t="str">
        <f>IF(PATIENTS!C127="","",PATIENTS!E127)</f>
        <v/>
      </c>
    </row>
    <row r="128" spans="1:5" x14ac:dyDescent="0.3">
      <c r="A128" t="str">
        <f>IF(PATIENTS!C128="","",PATIENTS!A128)</f>
        <v/>
      </c>
      <c r="B128" t="str">
        <f>IF(PATIENTS!C128="","",PATIENTS!B128)</f>
        <v/>
      </c>
      <c r="C128" t="str">
        <f>IF(PATIENTS!C128="","",PATIENTS!C128)</f>
        <v/>
      </c>
      <c r="D128" t="str">
        <f>IF(PATIENTS!C128="","",PATIENTS!D128)</f>
        <v/>
      </c>
      <c r="E128" t="str">
        <f>IF(PATIENTS!C128="","",PATIENTS!E128)</f>
        <v/>
      </c>
    </row>
    <row r="129" spans="1:5" x14ac:dyDescent="0.3">
      <c r="A129" t="str">
        <f>IF(PATIENTS!C129="","",PATIENTS!A129)</f>
        <v/>
      </c>
      <c r="B129" t="str">
        <f>IF(PATIENTS!C129="","",PATIENTS!B129)</f>
        <v/>
      </c>
      <c r="C129" t="str">
        <f>IF(PATIENTS!C129="","",PATIENTS!C129)</f>
        <v/>
      </c>
      <c r="D129" t="str">
        <f>IF(PATIENTS!C129="","",PATIENTS!D129)</f>
        <v/>
      </c>
      <c r="E129" t="str">
        <f>IF(PATIENTS!C129="","",PATIENTS!E129)</f>
        <v/>
      </c>
    </row>
    <row r="130" spans="1:5" x14ac:dyDescent="0.3">
      <c r="A130" t="str">
        <f>IF(PATIENTS!C130="","",PATIENTS!A130)</f>
        <v/>
      </c>
      <c r="B130" t="str">
        <f>IF(PATIENTS!C130="","",PATIENTS!B130)</f>
        <v/>
      </c>
      <c r="C130" t="str">
        <f>IF(PATIENTS!C130="","",PATIENTS!C130)</f>
        <v/>
      </c>
      <c r="D130" t="str">
        <f>IF(PATIENTS!C130="","",PATIENTS!D130)</f>
        <v/>
      </c>
      <c r="E130" t="str">
        <f>IF(PATIENTS!C130="","",PATIENTS!E130)</f>
        <v/>
      </c>
    </row>
    <row r="131" spans="1:5" x14ac:dyDescent="0.3">
      <c r="A131" t="str">
        <f>IF(PATIENTS!C131="","",PATIENTS!A131)</f>
        <v/>
      </c>
      <c r="B131" t="str">
        <f>IF(PATIENTS!C131="","",PATIENTS!B131)</f>
        <v/>
      </c>
      <c r="C131" t="str">
        <f>IF(PATIENTS!C131="","",PATIENTS!C131)</f>
        <v/>
      </c>
      <c r="D131" t="str">
        <f>IF(PATIENTS!C131="","",PATIENTS!D131)</f>
        <v/>
      </c>
      <c r="E131" t="str">
        <f>IF(PATIENTS!C131="","",PATIENTS!E131)</f>
        <v/>
      </c>
    </row>
    <row r="132" spans="1:5" x14ac:dyDescent="0.3">
      <c r="A132" t="str">
        <f>IF(PATIENTS!C132="","",PATIENTS!A132)</f>
        <v/>
      </c>
      <c r="B132" t="str">
        <f>IF(PATIENTS!C132="","",PATIENTS!B132)</f>
        <v/>
      </c>
      <c r="C132" t="str">
        <f>IF(PATIENTS!C132="","",PATIENTS!C132)</f>
        <v/>
      </c>
      <c r="D132" t="str">
        <f>IF(PATIENTS!C132="","",PATIENTS!D132)</f>
        <v/>
      </c>
      <c r="E132" t="str">
        <f>IF(PATIENTS!C132="","",PATIENTS!E132)</f>
        <v/>
      </c>
    </row>
    <row r="133" spans="1:5" x14ac:dyDescent="0.3">
      <c r="A133" t="str">
        <f>IF(PATIENTS!C133="","",PATIENTS!A133)</f>
        <v/>
      </c>
      <c r="B133" t="str">
        <f>IF(PATIENTS!C133="","",PATIENTS!B133)</f>
        <v/>
      </c>
      <c r="C133" t="str">
        <f>IF(PATIENTS!C133="","",PATIENTS!C133)</f>
        <v/>
      </c>
      <c r="D133" t="str">
        <f>IF(PATIENTS!C133="","",PATIENTS!D133)</f>
        <v/>
      </c>
      <c r="E133" t="str">
        <f>IF(PATIENTS!C133="","",PATIENTS!E133)</f>
        <v/>
      </c>
    </row>
    <row r="134" spans="1:5" x14ac:dyDescent="0.3">
      <c r="A134" t="str">
        <f>IF(PATIENTS!C134="","",PATIENTS!A134)</f>
        <v/>
      </c>
      <c r="B134" t="str">
        <f>IF(PATIENTS!C134="","",PATIENTS!B134)</f>
        <v/>
      </c>
      <c r="C134" t="str">
        <f>IF(PATIENTS!C134="","",PATIENTS!C134)</f>
        <v/>
      </c>
      <c r="D134" t="str">
        <f>IF(PATIENTS!C134="","",PATIENTS!D134)</f>
        <v/>
      </c>
      <c r="E134" t="str">
        <f>IF(PATIENTS!C134="","",PATIENTS!E134)</f>
        <v/>
      </c>
    </row>
    <row r="135" spans="1:5" x14ac:dyDescent="0.3">
      <c r="A135" t="str">
        <f>IF(PATIENTS!C135="","",PATIENTS!A135)</f>
        <v/>
      </c>
      <c r="B135" t="str">
        <f>IF(PATIENTS!C135="","",PATIENTS!B135)</f>
        <v/>
      </c>
      <c r="C135" t="str">
        <f>IF(PATIENTS!C135="","",PATIENTS!C135)</f>
        <v/>
      </c>
      <c r="D135" t="str">
        <f>IF(PATIENTS!C135="","",PATIENTS!D135)</f>
        <v/>
      </c>
      <c r="E135" t="str">
        <f>IF(PATIENTS!C135="","",PATIENTS!E135)</f>
        <v/>
      </c>
    </row>
    <row r="136" spans="1:5" x14ac:dyDescent="0.3">
      <c r="A136" t="str">
        <f>IF(PATIENTS!C136="","",PATIENTS!A136)</f>
        <v/>
      </c>
      <c r="B136" t="str">
        <f>IF(PATIENTS!C136="","",PATIENTS!B136)</f>
        <v/>
      </c>
      <c r="C136" t="str">
        <f>IF(PATIENTS!C136="","",PATIENTS!C136)</f>
        <v/>
      </c>
      <c r="D136" t="str">
        <f>IF(PATIENTS!C136="","",PATIENTS!D136)</f>
        <v/>
      </c>
      <c r="E136" t="str">
        <f>IF(PATIENTS!C136="","",PATIENTS!E136)</f>
        <v/>
      </c>
    </row>
    <row r="137" spans="1:5" x14ac:dyDescent="0.3">
      <c r="A137" t="str">
        <f>IF(PATIENTS!C137="","",PATIENTS!A137)</f>
        <v/>
      </c>
      <c r="B137" t="str">
        <f>IF(PATIENTS!C137="","",PATIENTS!B137)</f>
        <v/>
      </c>
      <c r="C137" t="str">
        <f>IF(PATIENTS!C137="","",PATIENTS!C137)</f>
        <v/>
      </c>
      <c r="D137" t="str">
        <f>IF(PATIENTS!C137="","",PATIENTS!D137)</f>
        <v/>
      </c>
      <c r="E137" t="str">
        <f>IF(PATIENTS!C137="","",PATIENTS!E137)</f>
        <v/>
      </c>
    </row>
    <row r="138" spans="1:5" x14ac:dyDescent="0.3">
      <c r="A138" t="str">
        <f>IF(PATIENTS!C138="","",PATIENTS!A138)</f>
        <v/>
      </c>
      <c r="B138" t="str">
        <f>IF(PATIENTS!C138="","",PATIENTS!B138)</f>
        <v/>
      </c>
      <c r="C138" t="str">
        <f>IF(PATIENTS!C138="","",PATIENTS!C138)</f>
        <v/>
      </c>
      <c r="D138" t="str">
        <f>IF(PATIENTS!C138="","",PATIENTS!D138)</f>
        <v/>
      </c>
      <c r="E138" t="str">
        <f>IF(PATIENTS!C138="","",PATIENTS!E138)</f>
        <v/>
      </c>
    </row>
    <row r="139" spans="1:5" x14ac:dyDescent="0.3">
      <c r="A139" t="str">
        <f>IF(PATIENTS!C139="","",PATIENTS!A139)</f>
        <v/>
      </c>
      <c r="B139" t="str">
        <f>IF(PATIENTS!C139="","",PATIENTS!B139)</f>
        <v/>
      </c>
      <c r="C139" t="str">
        <f>IF(PATIENTS!C139="","",PATIENTS!C139)</f>
        <v/>
      </c>
      <c r="D139" t="str">
        <f>IF(PATIENTS!C139="","",PATIENTS!D139)</f>
        <v/>
      </c>
      <c r="E139" t="str">
        <f>IF(PATIENTS!C139="","",PATIENTS!E139)</f>
        <v/>
      </c>
    </row>
    <row r="140" spans="1:5" x14ac:dyDescent="0.3">
      <c r="A140" t="str">
        <f>IF(PATIENTS!C140="","",PATIENTS!A140)</f>
        <v/>
      </c>
      <c r="B140" t="str">
        <f>IF(PATIENTS!C140="","",PATIENTS!B140)</f>
        <v/>
      </c>
      <c r="C140" t="str">
        <f>IF(PATIENTS!C140="","",PATIENTS!C140)</f>
        <v/>
      </c>
      <c r="D140" t="str">
        <f>IF(PATIENTS!C140="","",PATIENTS!D140)</f>
        <v/>
      </c>
      <c r="E140" t="str">
        <f>IF(PATIENTS!C140="","",PATIENTS!E140)</f>
        <v/>
      </c>
    </row>
    <row r="141" spans="1:5" x14ac:dyDescent="0.3">
      <c r="A141" t="str">
        <f>IF(PATIENTS!C141="","",PATIENTS!A141)</f>
        <v/>
      </c>
      <c r="B141" t="str">
        <f>IF(PATIENTS!C141="","",PATIENTS!B141)</f>
        <v/>
      </c>
      <c r="C141" t="str">
        <f>IF(PATIENTS!C141="","",PATIENTS!C141)</f>
        <v/>
      </c>
      <c r="D141" t="str">
        <f>IF(PATIENTS!C141="","",PATIENTS!D141)</f>
        <v/>
      </c>
      <c r="E141" t="str">
        <f>IF(PATIENTS!C141="","",PATIENTS!E141)</f>
        <v/>
      </c>
    </row>
    <row r="142" spans="1:5" x14ac:dyDescent="0.3">
      <c r="A142" t="str">
        <f>IF(PATIENTS!C142="","",PATIENTS!A142)</f>
        <v/>
      </c>
      <c r="B142" t="str">
        <f>IF(PATIENTS!C142="","",PATIENTS!B142)</f>
        <v/>
      </c>
      <c r="C142" t="str">
        <f>IF(PATIENTS!C142="","",PATIENTS!C142)</f>
        <v/>
      </c>
      <c r="D142" t="str">
        <f>IF(PATIENTS!C142="","",PATIENTS!D142)</f>
        <v/>
      </c>
      <c r="E142" t="str">
        <f>IF(PATIENTS!C142="","",PATIENTS!E142)</f>
        <v/>
      </c>
    </row>
    <row r="143" spans="1:5" x14ac:dyDescent="0.3">
      <c r="A143" t="str">
        <f>IF(PATIENTS!C143="","",PATIENTS!A143)</f>
        <v/>
      </c>
      <c r="B143" t="str">
        <f>IF(PATIENTS!C143="","",PATIENTS!B143)</f>
        <v/>
      </c>
      <c r="C143" t="str">
        <f>IF(PATIENTS!C143="","",PATIENTS!C143)</f>
        <v/>
      </c>
      <c r="D143" t="str">
        <f>IF(PATIENTS!C143="","",PATIENTS!D143)</f>
        <v/>
      </c>
      <c r="E143" t="str">
        <f>IF(PATIENTS!C143="","",PATIENTS!E143)</f>
        <v/>
      </c>
    </row>
    <row r="144" spans="1:5" x14ac:dyDescent="0.3">
      <c r="A144" t="str">
        <f>IF(PATIENTS!C144="","",PATIENTS!A144)</f>
        <v/>
      </c>
      <c r="B144" t="str">
        <f>IF(PATIENTS!C144="","",PATIENTS!B144)</f>
        <v/>
      </c>
      <c r="C144" t="str">
        <f>IF(PATIENTS!C144="","",PATIENTS!C144)</f>
        <v/>
      </c>
      <c r="D144" t="str">
        <f>IF(PATIENTS!C144="","",PATIENTS!D144)</f>
        <v/>
      </c>
      <c r="E144" t="str">
        <f>IF(PATIENTS!C144="","",PATIENTS!E144)</f>
        <v/>
      </c>
    </row>
    <row r="145" spans="1:5" x14ac:dyDescent="0.3">
      <c r="A145" t="str">
        <f>IF(PATIENTS!C145="","",PATIENTS!A145)</f>
        <v/>
      </c>
      <c r="B145" t="str">
        <f>IF(PATIENTS!C145="","",PATIENTS!B145)</f>
        <v/>
      </c>
      <c r="C145" t="str">
        <f>IF(PATIENTS!C145="","",PATIENTS!C145)</f>
        <v/>
      </c>
      <c r="D145" t="str">
        <f>IF(PATIENTS!C145="","",PATIENTS!D145)</f>
        <v/>
      </c>
      <c r="E145" t="str">
        <f>IF(PATIENTS!C145="","",PATIENTS!E145)</f>
        <v/>
      </c>
    </row>
    <row r="146" spans="1:5" x14ac:dyDescent="0.3">
      <c r="A146" t="str">
        <f>IF(PATIENTS!C146="","",PATIENTS!A146)</f>
        <v/>
      </c>
      <c r="B146" t="str">
        <f>IF(PATIENTS!C146="","",PATIENTS!B146)</f>
        <v/>
      </c>
      <c r="C146" t="str">
        <f>IF(PATIENTS!C146="","",PATIENTS!C146)</f>
        <v/>
      </c>
      <c r="D146" t="str">
        <f>IF(PATIENTS!C146="","",PATIENTS!D146)</f>
        <v/>
      </c>
      <c r="E146" t="str">
        <f>IF(PATIENTS!C146="","",PATIENTS!E146)</f>
        <v/>
      </c>
    </row>
    <row r="147" spans="1:5" x14ac:dyDescent="0.3">
      <c r="A147" t="str">
        <f>IF(PATIENTS!C147="","",PATIENTS!A147)</f>
        <v/>
      </c>
      <c r="B147" t="str">
        <f>IF(PATIENTS!C147="","",PATIENTS!B147)</f>
        <v/>
      </c>
      <c r="C147" t="str">
        <f>IF(PATIENTS!C147="","",PATIENTS!C147)</f>
        <v/>
      </c>
      <c r="D147" t="str">
        <f>IF(PATIENTS!C147="","",PATIENTS!D147)</f>
        <v/>
      </c>
      <c r="E147" t="str">
        <f>IF(PATIENTS!C147="","",PATIENTS!E147)</f>
        <v/>
      </c>
    </row>
    <row r="148" spans="1:5" x14ac:dyDescent="0.3">
      <c r="A148" t="str">
        <f>IF(PATIENTS!C148="","",PATIENTS!A148)</f>
        <v/>
      </c>
      <c r="B148" t="str">
        <f>IF(PATIENTS!C148="","",PATIENTS!B148)</f>
        <v/>
      </c>
      <c r="C148" t="str">
        <f>IF(PATIENTS!C148="","",PATIENTS!C148)</f>
        <v/>
      </c>
      <c r="D148" t="str">
        <f>IF(PATIENTS!C148="","",PATIENTS!D148)</f>
        <v/>
      </c>
      <c r="E148" t="str">
        <f>IF(PATIENTS!C148="","",PATIENTS!E148)</f>
        <v/>
      </c>
    </row>
    <row r="149" spans="1:5" x14ac:dyDescent="0.3">
      <c r="A149" t="str">
        <f>IF(PATIENTS!C149="","",PATIENTS!A149)</f>
        <v/>
      </c>
      <c r="B149" t="str">
        <f>IF(PATIENTS!C149="","",PATIENTS!B149)</f>
        <v/>
      </c>
      <c r="C149" t="str">
        <f>IF(PATIENTS!C149="","",PATIENTS!C149)</f>
        <v/>
      </c>
      <c r="D149" t="str">
        <f>IF(PATIENTS!C149="","",PATIENTS!D149)</f>
        <v/>
      </c>
      <c r="E149" t="str">
        <f>IF(PATIENTS!C149="","",PATIENTS!E149)</f>
        <v/>
      </c>
    </row>
    <row r="150" spans="1:5" x14ac:dyDescent="0.3">
      <c r="A150" t="str">
        <f>IF(PATIENTS!C150="","",PATIENTS!A150)</f>
        <v/>
      </c>
      <c r="B150" t="str">
        <f>IF(PATIENTS!C150="","",PATIENTS!B150)</f>
        <v/>
      </c>
      <c r="C150" t="str">
        <f>IF(PATIENTS!C150="","",PATIENTS!C150)</f>
        <v/>
      </c>
      <c r="D150" t="str">
        <f>IF(PATIENTS!C150="","",PATIENTS!D150)</f>
        <v/>
      </c>
      <c r="E150" t="str">
        <f>IF(PATIENTS!C150="","",PATIENTS!E150)</f>
        <v/>
      </c>
    </row>
    <row r="151" spans="1:5" x14ac:dyDescent="0.3">
      <c r="A151" t="str">
        <f>IF(PATIENTS!C151="","",PATIENTS!A151)</f>
        <v/>
      </c>
      <c r="B151" t="str">
        <f>IF(PATIENTS!C151="","",PATIENTS!B151)</f>
        <v/>
      </c>
      <c r="C151" t="str">
        <f>IF(PATIENTS!C151="","",PATIENTS!C151)</f>
        <v/>
      </c>
      <c r="D151" t="str">
        <f>IF(PATIENTS!C151="","",PATIENTS!D151)</f>
        <v/>
      </c>
      <c r="E151" t="str">
        <f>IF(PATIENTS!C151="","",PATIENTS!E151)</f>
        <v/>
      </c>
    </row>
    <row r="152" spans="1:5" x14ac:dyDescent="0.3">
      <c r="A152" t="str">
        <f>IF(PATIENTS!C152="","",PATIENTS!A152)</f>
        <v/>
      </c>
      <c r="B152" t="str">
        <f>IF(PATIENTS!C152="","",PATIENTS!B152)</f>
        <v/>
      </c>
      <c r="C152" t="str">
        <f>IF(PATIENTS!C152="","",PATIENTS!C152)</f>
        <v/>
      </c>
      <c r="D152" t="str">
        <f>IF(PATIENTS!C152="","",PATIENTS!D152)</f>
        <v/>
      </c>
      <c r="E152" t="str">
        <f>IF(PATIENTS!C152="","",PATIENTS!E152)</f>
        <v/>
      </c>
    </row>
    <row r="153" spans="1:5" x14ac:dyDescent="0.3">
      <c r="A153" t="str">
        <f>IF(PATIENTS!C153="","",PATIENTS!A153)</f>
        <v/>
      </c>
      <c r="B153" t="str">
        <f>IF(PATIENTS!C153="","",PATIENTS!B153)</f>
        <v/>
      </c>
      <c r="C153" t="str">
        <f>IF(PATIENTS!C153="","",PATIENTS!C153)</f>
        <v/>
      </c>
      <c r="D153" t="str">
        <f>IF(PATIENTS!C153="","",PATIENTS!D153)</f>
        <v/>
      </c>
      <c r="E153" t="str">
        <f>IF(PATIENTS!C153="","",PATIENTS!E153)</f>
        <v/>
      </c>
    </row>
    <row r="154" spans="1:5" x14ac:dyDescent="0.3">
      <c r="A154" t="str">
        <f>IF(PATIENTS!C154="","",PATIENTS!A154)</f>
        <v/>
      </c>
      <c r="B154" t="str">
        <f>IF(PATIENTS!C154="","",PATIENTS!B154)</f>
        <v/>
      </c>
      <c r="C154" t="str">
        <f>IF(PATIENTS!C154="","",PATIENTS!C154)</f>
        <v/>
      </c>
      <c r="D154" t="str">
        <f>IF(PATIENTS!C154="","",PATIENTS!D154)</f>
        <v/>
      </c>
      <c r="E154" t="str">
        <f>IF(PATIENTS!C154="","",PATIENTS!E154)</f>
        <v/>
      </c>
    </row>
    <row r="155" spans="1:5" x14ac:dyDescent="0.3">
      <c r="A155" t="str">
        <f>IF(PATIENTS!C155="","",PATIENTS!A155)</f>
        <v/>
      </c>
      <c r="B155" t="str">
        <f>IF(PATIENTS!C155="","",PATIENTS!B155)</f>
        <v/>
      </c>
      <c r="C155" t="str">
        <f>IF(PATIENTS!C155="","",PATIENTS!C155)</f>
        <v/>
      </c>
      <c r="D155" t="str">
        <f>IF(PATIENTS!C155="","",PATIENTS!D155)</f>
        <v/>
      </c>
      <c r="E155" t="str">
        <f>IF(PATIENTS!C155="","",PATIENTS!E155)</f>
        <v/>
      </c>
    </row>
    <row r="156" spans="1:5" x14ac:dyDescent="0.3">
      <c r="A156" t="str">
        <f>IF(PATIENTS!C156="","",PATIENTS!A156)</f>
        <v/>
      </c>
      <c r="B156" t="str">
        <f>IF(PATIENTS!C156="","",PATIENTS!B156)</f>
        <v/>
      </c>
      <c r="C156" t="str">
        <f>IF(PATIENTS!C156="","",PATIENTS!C156)</f>
        <v/>
      </c>
      <c r="D156" t="str">
        <f>IF(PATIENTS!C156="","",PATIENTS!D156)</f>
        <v/>
      </c>
      <c r="E156" t="str">
        <f>IF(PATIENTS!C156="","",PATIENTS!E156)</f>
        <v/>
      </c>
    </row>
    <row r="157" spans="1:5" x14ac:dyDescent="0.3">
      <c r="A157" t="str">
        <f>IF(PATIENTS!C157="","",PATIENTS!A157)</f>
        <v/>
      </c>
      <c r="B157" t="str">
        <f>IF(PATIENTS!C157="","",PATIENTS!B157)</f>
        <v/>
      </c>
      <c r="C157" t="str">
        <f>IF(PATIENTS!C157="","",PATIENTS!C157)</f>
        <v/>
      </c>
      <c r="D157" t="str">
        <f>IF(PATIENTS!C157="","",PATIENTS!D157)</f>
        <v/>
      </c>
      <c r="E157" t="str">
        <f>IF(PATIENTS!C157="","",PATIENTS!E157)</f>
        <v/>
      </c>
    </row>
    <row r="158" spans="1:5" x14ac:dyDescent="0.3">
      <c r="A158" t="str">
        <f>IF(PATIENTS!C158="","",PATIENTS!A158)</f>
        <v/>
      </c>
      <c r="B158" t="str">
        <f>IF(PATIENTS!C158="","",PATIENTS!B158)</f>
        <v/>
      </c>
      <c r="C158" t="str">
        <f>IF(PATIENTS!C158="","",PATIENTS!C158)</f>
        <v/>
      </c>
      <c r="D158" t="str">
        <f>IF(PATIENTS!C158="","",PATIENTS!D158)</f>
        <v/>
      </c>
      <c r="E158" t="str">
        <f>IF(PATIENTS!C158="","",PATIENTS!E158)</f>
        <v/>
      </c>
    </row>
    <row r="159" spans="1:5" x14ac:dyDescent="0.3">
      <c r="A159" t="str">
        <f>IF(PATIENTS!C159="","",PATIENTS!A159)</f>
        <v/>
      </c>
      <c r="B159" t="str">
        <f>IF(PATIENTS!C159="","",PATIENTS!B159)</f>
        <v/>
      </c>
      <c r="C159" t="str">
        <f>IF(PATIENTS!C159="","",PATIENTS!C159)</f>
        <v/>
      </c>
      <c r="D159" t="str">
        <f>IF(PATIENTS!C159="","",PATIENTS!D159)</f>
        <v/>
      </c>
      <c r="E159" t="str">
        <f>IF(PATIENTS!C159="","",PATIENTS!E159)</f>
        <v/>
      </c>
    </row>
    <row r="160" spans="1:5" x14ac:dyDescent="0.3">
      <c r="A160" t="str">
        <f>IF(PATIENTS!C160="","",PATIENTS!A160)</f>
        <v/>
      </c>
      <c r="B160" t="str">
        <f>IF(PATIENTS!C160="","",PATIENTS!B160)</f>
        <v/>
      </c>
      <c r="C160" t="str">
        <f>IF(PATIENTS!C160="","",PATIENTS!C160)</f>
        <v/>
      </c>
      <c r="D160" t="str">
        <f>IF(PATIENTS!C160="","",PATIENTS!D160)</f>
        <v/>
      </c>
      <c r="E160" t="str">
        <f>IF(PATIENTS!C160="","",PATIENTS!E160)</f>
        <v/>
      </c>
    </row>
    <row r="161" spans="1:5" x14ac:dyDescent="0.3">
      <c r="A161" t="str">
        <f>IF(PATIENTS!C161="","",PATIENTS!A161)</f>
        <v/>
      </c>
      <c r="B161" t="str">
        <f>IF(PATIENTS!C161="","",PATIENTS!B161)</f>
        <v/>
      </c>
      <c r="C161" t="str">
        <f>IF(PATIENTS!C161="","",PATIENTS!C161)</f>
        <v/>
      </c>
      <c r="D161" t="str">
        <f>IF(PATIENTS!C161="","",PATIENTS!D161)</f>
        <v/>
      </c>
      <c r="E161" t="str">
        <f>IF(PATIENTS!C161="","",PATIENTS!E161)</f>
        <v/>
      </c>
    </row>
    <row r="162" spans="1:5" x14ac:dyDescent="0.3">
      <c r="A162" t="str">
        <f>IF(PATIENTS!C162="","",PATIENTS!A162)</f>
        <v/>
      </c>
      <c r="B162" t="str">
        <f>IF(PATIENTS!C162="","",PATIENTS!B162)</f>
        <v/>
      </c>
      <c r="C162" t="str">
        <f>IF(PATIENTS!C162="","",PATIENTS!C162)</f>
        <v/>
      </c>
      <c r="D162" t="str">
        <f>IF(PATIENTS!C162="","",PATIENTS!D162)</f>
        <v/>
      </c>
      <c r="E162" t="str">
        <f>IF(PATIENTS!C162="","",PATIENTS!E162)</f>
        <v/>
      </c>
    </row>
    <row r="163" spans="1:5" x14ac:dyDescent="0.3">
      <c r="A163" t="str">
        <f>IF(PATIENTS!C163="","",PATIENTS!A163)</f>
        <v/>
      </c>
      <c r="B163" t="str">
        <f>IF(PATIENTS!C163="","",PATIENTS!B163)</f>
        <v/>
      </c>
      <c r="C163" t="str">
        <f>IF(PATIENTS!C163="","",PATIENTS!C163)</f>
        <v/>
      </c>
      <c r="D163" t="str">
        <f>IF(PATIENTS!C163="","",PATIENTS!D163)</f>
        <v/>
      </c>
      <c r="E163" t="str">
        <f>IF(PATIENTS!C163="","",PATIENTS!E163)</f>
        <v/>
      </c>
    </row>
    <row r="164" spans="1:5" x14ac:dyDescent="0.3">
      <c r="A164" t="str">
        <f>IF(PATIENTS!C164="","",PATIENTS!A164)</f>
        <v/>
      </c>
      <c r="B164" t="str">
        <f>IF(PATIENTS!C164="","",PATIENTS!B164)</f>
        <v/>
      </c>
      <c r="C164" t="str">
        <f>IF(PATIENTS!C164="","",PATIENTS!C164)</f>
        <v/>
      </c>
      <c r="D164" t="str">
        <f>IF(PATIENTS!C164="","",PATIENTS!D164)</f>
        <v/>
      </c>
      <c r="E164" t="str">
        <f>IF(PATIENTS!C164="","",PATIENTS!E164)</f>
        <v/>
      </c>
    </row>
    <row r="165" spans="1:5" x14ac:dyDescent="0.3">
      <c r="A165" t="str">
        <f>IF(PATIENTS!C165="","",PATIENTS!A165)</f>
        <v/>
      </c>
      <c r="B165" t="str">
        <f>IF(PATIENTS!C165="","",PATIENTS!B165)</f>
        <v/>
      </c>
      <c r="C165" t="str">
        <f>IF(PATIENTS!C165="","",PATIENTS!C165)</f>
        <v/>
      </c>
      <c r="D165" t="str">
        <f>IF(PATIENTS!C165="","",PATIENTS!D165)</f>
        <v/>
      </c>
      <c r="E165" t="str">
        <f>IF(PATIENTS!C165="","",PATIENTS!E165)</f>
        <v/>
      </c>
    </row>
    <row r="166" spans="1:5" x14ac:dyDescent="0.3">
      <c r="A166" t="str">
        <f>IF(PATIENTS!C166="","",PATIENTS!A166)</f>
        <v/>
      </c>
      <c r="B166" t="str">
        <f>IF(PATIENTS!C166="","",PATIENTS!B166)</f>
        <v/>
      </c>
      <c r="C166" t="str">
        <f>IF(PATIENTS!C166="","",PATIENTS!C166)</f>
        <v/>
      </c>
      <c r="D166" t="str">
        <f>IF(PATIENTS!C166="","",PATIENTS!D166)</f>
        <v/>
      </c>
      <c r="E166" t="str">
        <f>IF(PATIENTS!C166="","",PATIENTS!E166)</f>
        <v/>
      </c>
    </row>
    <row r="167" spans="1:5" x14ac:dyDescent="0.3">
      <c r="A167" t="str">
        <f>IF(PATIENTS!C167="","",PATIENTS!A167)</f>
        <v/>
      </c>
      <c r="B167" t="str">
        <f>IF(PATIENTS!C167="","",PATIENTS!B167)</f>
        <v/>
      </c>
      <c r="C167" t="str">
        <f>IF(PATIENTS!C167="","",PATIENTS!C167)</f>
        <v/>
      </c>
      <c r="D167" t="str">
        <f>IF(PATIENTS!C167="","",PATIENTS!D167)</f>
        <v/>
      </c>
      <c r="E167" t="str">
        <f>IF(PATIENTS!C167="","",PATIENTS!E167)</f>
        <v/>
      </c>
    </row>
    <row r="168" spans="1:5" x14ac:dyDescent="0.3">
      <c r="A168" t="str">
        <f>IF(PATIENTS!C168="","",PATIENTS!A168)</f>
        <v/>
      </c>
      <c r="B168" t="str">
        <f>IF(PATIENTS!C168="","",PATIENTS!B168)</f>
        <v/>
      </c>
      <c r="C168" t="str">
        <f>IF(PATIENTS!C168="","",PATIENTS!C168)</f>
        <v/>
      </c>
      <c r="D168" t="str">
        <f>IF(PATIENTS!C168="","",PATIENTS!D168)</f>
        <v/>
      </c>
      <c r="E168" t="str">
        <f>IF(PATIENTS!C168="","",PATIENTS!E168)</f>
        <v/>
      </c>
    </row>
    <row r="169" spans="1:5" x14ac:dyDescent="0.3">
      <c r="A169" t="str">
        <f>IF(PATIENTS!C169="","",PATIENTS!A169)</f>
        <v/>
      </c>
      <c r="B169" t="str">
        <f>IF(PATIENTS!C169="","",PATIENTS!B169)</f>
        <v/>
      </c>
      <c r="C169" t="str">
        <f>IF(PATIENTS!C169="","",PATIENTS!C169)</f>
        <v/>
      </c>
      <c r="D169" t="str">
        <f>IF(PATIENTS!C169="","",PATIENTS!D169)</f>
        <v/>
      </c>
      <c r="E169" t="str">
        <f>IF(PATIENTS!C169="","",PATIENTS!E169)</f>
        <v/>
      </c>
    </row>
    <row r="170" spans="1:5" x14ac:dyDescent="0.3">
      <c r="A170" t="str">
        <f>IF(PATIENTS!C170="","",PATIENTS!A170)</f>
        <v/>
      </c>
      <c r="B170" t="str">
        <f>IF(PATIENTS!C170="","",PATIENTS!B170)</f>
        <v/>
      </c>
      <c r="C170" t="str">
        <f>IF(PATIENTS!C170="","",PATIENTS!C170)</f>
        <v/>
      </c>
      <c r="D170" t="str">
        <f>IF(PATIENTS!C170="","",PATIENTS!D170)</f>
        <v/>
      </c>
      <c r="E170" t="str">
        <f>IF(PATIENTS!C170="","",PATIENTS!E170)</f>
        <v/>
      </c>
    </row>
    <row r="171" spans="1:5" x14ac:dyDescent="0.3">
      <c r="A171" t="str">
        <f>IF(PATIENTS!C171="","",PATIENTS!A171)</f>
        <v/>
      </c>
      <c r="B171" t="str">
        <f>IF(PATIENTS!C171="","",PATIENTS!B171)</f>
        <v/>
      </c>
      <c r="C171" t="str">
        <f>IF(PATIENTS!C171="","",PATIENTS!C171)</f>
        <v/>
      </c>
      <c r="D171" t="str">
        <f>IF(PATIENTS!C171="","",PATIENTS!D171)</f>
        <v/>
      </c>
      <c r="E171" t="str">
        <f>IF(PATIENTS!C171="","",PATIENTS!E171)</f>
        <v/>
      </c>
    </row>
    <row r="172" spans="1:5" x14ac:dyDescent="0.3">
      <c r="A172" t="str">
        <f>IF(PATIENTS!C172="","",PATIENTS!A172)</f>
        <v/>
      </c>
      <c r="B172" t="str">
        <f>IF(PATIENTS!C172="","",PATIENTS!B172)</f>
        <v/>
      </c>
      <c r="C172" t="str">
        <f>IF(PATIENTS!C172="","",PATIENTS!C172)</f>
        <v/>
      </c>
      <c r="D172" t="str">
        <f>IF(PATIENTS!C172="","",PATIENTS!D172)</f>
        <v/>
      </c>
      <c r="E172" t="str">
        <f>IF(PATIENTS!C172="","",PATIENTS!E172)</f>
        <v/>
      </c>
    </row>
    <row r="173" spans="1:5" x14ac:dyDescent="0.3">
      <c r="A173" t="str">
        <f>IF(PATIENTS!C173="","",PATIENTS!A173)</f>
        <v/>
      </c>
      <c r="B173" t="str">
        <f>IF(PATIENTS!C173="","",PATIENTS!B173)</f>
        <v/>
      </c>
      <c r="C173" t="str">
        <f>IF(PATIENTS!C173="","",PATIENTS!C173)</f>
        <v/>
      </c>
      <c r="D173" t="str">
        <f>IF(PATIENTS!C173="","",PATIENTS!D173)</f>
        <v/>
      </c>
      <c r="E173" t="str">
        <f>IF(PATIENTS!C173="","",PATIENTS!E173)</f>
        <v/>
      </c>
    </row>
    <row r="174" spans="1:5" x14ac:dyDescent="0.3">
      <c r="A174" t="str">
        <f>IF(PATIENTS!C174="","",PATIENTS!A174)</f>
        <v/>
      </c>
      <c r="B174" t="str">
        <f>IF(PATIENTS!C174="","",PATIENTS!B174)</f>
        <v/>
      </c>
      <c r="C174" t="str">
        <f>IF(PATIENTS!C174="","",PATIENTS!C174)</f>
        <v/>
      </c>
      <c r="D174" t="str">
        <f>IF(PATIENTS!C174="","",PATIENTS!D174)</f>
        <v/>
      </c>
      <c r="E174" t="str">
        <f>IF(PATIENTS!C174="","",PATIENTS!E174)</f>
        <v/>
      </c>
    </row>
    <row r="175" spans="1:5" x14ac:dyDescent="0.3">
      <c r="A175" t="str">
        <f>IF(PATIENTS!C175="","",PATIENTS!A175)</f>
        <v/>
      </c>
      <c r="B175" t="str">
        <f>IF(PATIENTS!C175="","",PATIENTS!B175)</f>
        <v/>
      </c>
      <c r="C175" t="str">
        <f>IF(PATIENTS!C175="","",PATIENTS!C175)</f>
        <v/>
      </c>
      <c r="D175" t="str">
        <f>IF(PATIENTS!C175="","",PATIENTS!D175)</f>
        <v/>
      </c>
      <c r="E175" t="str">
        <f>IF(PATIENTS!C175="","",PATIENTS!E175)</f>
        <v/>
      </c>
    </row>
    <row r="176" spans="1:5" x14ac:dyDescent="0.3">
      <c r="A176" t="str">
        <f>IF(PATIENTS!C176="","",PATIENTS!A176)</f>
        <v/>
      </c>
      <c r="B176" t="str">
        <f>IF(PATIENTS!C176="","",PATIENTS!B176)</f>
        <v/>
      </c>
      <c r="C176" t="str">
        <f>IF(PATIENTS!C176="","",PATIENTS!C176)</f>
        <v/>
      </c>
      <c r="D176" t="str">
        <f>IF(PATIENTS!C176="","",PATIENTS!D176)</f>
        <v/>
      </c>
      <c r="E176" t="str">
        <f>IF(PATIENTS!C176="","",PATIENTS!E176)</f>
        <v/>
      </c>
    </row>
    <row r="177" spans="1:5" x14ac:dyDescent="0.3">
      <c r="A177" t="str">
        <f>IF(PATIENTS!C177="","",PATIENTS!A177)</f>
        <v/>
      </c>
      <c r="B177" t="str">
        <f>IF(PATIENTS!C177="","",PATIENTS!B177)</f>
        <v/>
      </c>
      <c r="C177" t="str">
        <f>IF(PATIENTS!C177="","",PATIENTS!C177)</f>
        <v/>
      </c>
      <c r="D177" t="str">
        <f>IF(PATIENTS!C177="","",PATIENTS!D177)</f>
        <v/>
      </c>
      <c r="E177" t="str">
        <f>IF(PATIENTS!C177="","",PATIENTS!E177)</f>
        <v/>
      </c>
    </row>
    <row r="178" spans="1:5" x14ac:dyDescent="0.3">
      <c r="A178" t="str">
        <f>IF(PATIENTS!C178="","",PATIENTS!A178)</f>
        <v/>
      </c>
      <c r="B178" t="str">
        <f>IF(PATIENTS!C178="","",PATIENTS!B178)</f>
        <v/>
      </c>
      <c r="C178" t="str">
        <f>IF(PATIENTS!C178="","",PATIENTS!C178)</f>
        <v/>
      </c>
      <c r="D178" t="str">
        <f>IF(PATIENTS!C178="","",PATIENTS!D178)</f>
        <v/>
      </c>
      <c r="E178" t="str">
        <f>IF(PATIENTS!C178="","",PATIENTS!E178)</f>
        <v/>
      </c>
    </row>
    <row r="179" spans="1:5" x14ac:dyDescent="0.3">
      <c r="A179" t="str">
        <f>IF(PATIENTS!C179="","",PATIENTS!A179)</f>
        <v/>
      </c>
      <c r="B179" t="str">
        <f>IF(PATIENTS!C179="","",PATIENTS!B179)</f>
        <v/>
      </c>
      <c r="C179" t="str">
        <f>IF(PATIENTS!C179="","",PATIENTS!C179)</f>
        <v/>
      </c>
      <c r="D179" t="str">
        <f>IF(PATIENTS!C179="","",PATIENTS!D179)</f>
        <v/>
      </c>
      <c r="E179" t="str">
        <f>IF(PATIENTS!C179="","",PATIENTS!E179)</f>
        <v/>
      </c>
    </row>
    <row r="180" spans="1:5" x14ac:dyDescent="0.3">
      <c r="A180" t="str">
        <f>IF(PATIENTS!C180="","",PATIENTS!A180)</f>
        <v/>
      </c>
      <c r="B180" t="str">
        <f>IF(PATIENTS!C180="","",PATIENTS!B180)</f>
        <v/>
      </c>
      <c r="C180" t="str">
        <f>IF(PATIENTS!C180="","",PATIENTS!C180)</f>
        <v/>
      </c>
      <c r="D180" t="str">
        <f>IF(PATIENTS!C180="","",PATIENTS!D180)</f>
        <v/>
      </c>
      <c r="E180" t="str">
        <f>IF(PATIENTS!C180="","",PATIENTS!E180)</f>
        <v/>
      </c>
    </row>
    <row r="181" spans="1:5" x14ac:dyDescent="0.3">
      <c r="A181" t="str">
        <f>IF(PATIENTS!C181="","",PATIENTS!A181)</f>
        <v/>
      </c>
      <c r="B181" t="str">
        <f>IF(PATIENTS!C181="","",PATIENTS!B181)</f>
        <v/>
      </c>
      <c r="C181" t="str">
        <f>IF(PATIENTS!C181="","",PATIENTS!C181)</f>
        <v/>
      </c>
      <c r="D181" t="str">
        <f>IF(PATIENTS!C181="","",PATIENTS!D181)</f>
        <v/>
      </c>
      <c r="E181" t="str">
        <f>IF(PATIENTS!C181="","",PATIENTS!E181)</f>
        <v/>
      </c>
    </row>
    <row r="182" spans="1:5" x14ac:dyDescent="0.3">
      <c r="A182" t="str">
        <f>IF(PATIENTS!C182="","",PATIENTS!A182)</f>
        <v/>
      </c>
      <c r="B182" t="str">
        <f>IF(PATIENTS!C182="","",PATIENTS!B182)</f>
        <v/>
      </c>
      <c r="C182" t="str">
        <f>IF(PATIENTS!C182="","",PATIENTS!C182)</f>
        <v/>
      </c>
      <c r="D182" t="str">
        <f>IF(PATIENTS!C182="","",PATIENTS!D182)</f>
        <v/>
      </c>
      <c r="E182" t="str">
        <f>IF(PATIENTS!C182="","",PATIENTS!E182)</f>
        <v/>
      </c>
    </row>
    <row r="183" spans="1:5" x14ac:dyDescent="0.3">
      <c r="A183" t="str">
        <f>IF(PATIENTS!C183="","",PATIENTS!A183)</f>
        <v/>
      </c>
      <c r="B183" t="str">
        <f>IF(PATIENTS!C183="","",PATIENTS!B183)</f>
        <v/>
      </c>
      <c r="C183" t="str">
        <f>IF(PATIENTS!C183="","",PATIENTS!C183)</f>
        <v/>
      </c>
      <c r="D183" t="str">
        <f>IF(PATIENTS!C183="","",PATIENTS!D183)</f>
        <v/>
      </c>
      <c r="E183" t="str">
        <f>IF(PATIENTS!C183="","",PATIENTS!E183)</f>
        <v/>
      </c>
    </row>
    <row r="184" spans="1:5" x14ac:dyDescent="0.3">
      <c r="A184" t="str">
        <f>IF(PATIENTS!C184="","",PATIENTS!A184)</f>
        <v/>
      </c>
      <c r="B184" t="str">
        <f>IF(PATIENTS!C184="","",PATIENTS!B184)</f>
        <v/>
      </c>
      <c r="C184" t="str">
        <f>IF(PATIENTS!C184="","",PATIENTS!C184)</f>
        <v/>
      </c>
      <c r="D184" t="str">
        <f>IF(PATIENTS!C184="","",PATIENTS!D184)</f>
        <v/>
      </c>
      <c r="E184" t="str">
        <f>IF(PATIENTS!C184="","",PATIENTS!E184)</f>
        <v/>
      </c>
    </row>
    <row r="185" spans="1:5" x14ac:dyDescent="0.3">
      <c r="A185" t="str">
        <f>IF(PATIENTS!C185="","",PATIENTS!A185)</f>
        <v/>
      </c>
      <c r="B185" t="str">
        <f>IF(PATIENTS!C185="","",PATIENTS!B185)</f>
        <v/>
      </c>
      <c r="C185" t="str">
        <f>IF(PATIENTS!C185="","",PATIENTS!C185)</f>
        <v/>
      </c>
      <c r="D185" t="str">
        <f>IF(PATIENTS!C185="","",PATIENTS!D185)</f>
        <v/>
      </c>
      <c r="E185" t="str">
        <f>IF(PATIENTS!C185="","",PATIENTS!E185)</f>
        <v/>
      </c>
    </row>
    <row r="186" spans="1:5" x14ac:dyDescent="0.3">
      <c r="A186" t="str">
        <f>IF(PATIENTS!C186="","",PATIENTS!A186)</f>
        <v/>
      </c>
      <c r="B186" t="str">
        <f>IF(PATIENTS!C186="","",PATIENTS!B186)</f>
        <v/>
      </c>
      <c r="C186" t="str">
        <f>IF(PATIENTS!C186="","",PATIENTS!C186)</f>
        <v/>
      </c>
      <c r="D186" t="str">
        <f>IF(PATIENTS!C186="","",PATIENTS!D186)</f>
        <v/>
      </c>
      <c r="E186" t="str">
        <f>IF(PATIENTS!C186="","",PATIENTS!E186)</f>
        <v/>
      </c>
    </row>
    <row r="187" spans="1:5" x14ac:dyDescent="0.3">
      <c r="A187" t="str">
        <f>IF(PATIENTS!C187="","",PATIENTS!A187)</f>
        <v/>
      </c>
      <c r="B187" t="str">
        <f>IF(PATIENTS!C187="","",PATIENTS!B187)</f>
        <v/>
      </c>
      <c r="C187" t="str">
        <f>IF(PATIENTS!C187="","",PATIENTS!C187)</f>
        <v/>
      </c>
      <c r="D187" t="str">
        <f>IF(PATIENTS!C187="","",PATIENTS!D187)</f>
        <v/>
      </c>
      <c r="E187" t="str">
        <f>IF(PATIENTS!C187="","",PATIENTS!E187)</f>
        <v/>
      </c>
    </row>
    <row r="188" spans="1:5" x14ac:dyDescent="0.3">
      <c r="A188" t="str">
        <f>IF(PATIENTS!C188="","",PATIENTS!A188)</f>
        <v/>
      </c>
      <c r="B188" t="str">
        <f>IF(PATIENTS!C188="","",PATIENTS!B188)</f>
        <v/>
      </c>
      <c r="C188" t="str">
        <f>IF(PATIENTS!C188="","",PATIENTS!C188)</f>
        <v/>
      </c>
      <c r="D188" t="str">
        <f>IF(PATIENTS!C188="","",PATIENTS!D188)</f>
        <v/>
      </c>
      <c r="E188" t="str">
        <f>IF(PATIENTS!C188="","",PATIENTS!E188)</f>
        <v/>
      </c>
    </row>
    <row r="189" spans="1:5" x14ac:dyDescent="0.3">
      <c r="A189" t="str">
        <f>IF(PATIENTS!C189="","",PATIENTS!A189)</f>
        <v/>
      </c>
      <c r="B189" t="str">
        <f>IF(PATIENTS!C189="","",PATIENTS!B189)</f>
        <v/>
      </c>
      <c r="C189" t="str">
        <f>IF(PATIENTS!C189="","",PATIENTS!C189)</f>
        <v/>
      </c>
      <c r="D189" t="str">
        <f>IF(PATIENTS!C189="","",PATIENTS!D189)</f>
        <v/>
      </c>
      <c r="E189" t="str">
        <f>IF(PATIENTS!C189="","",PATIENTS!E189)</f>
        <v/>
      </c>
    </row>
    <row r="190" spans="1:5" x14ac:dyDescent="0.3">
      <c r="A190" t="str">
        <f>IF(PATIENTS!C190="","",PATIENTS!A190)</f>
        <v/>
      </c>
      <c r="B190" t="str">
        <f>IF(PATIENTS!C190="","",PATIENTS!B190)</f>
        <v/>
      </c>
      <c r="C190" t="str">
        <f>IF(PATIENTS!C190="","",PATIENTS!C190)</f>
        <v/>
      </c>
      <c r="D190" t="str">
        <f>IF(PATIENTS!C190="","",PATIENTS!D190)</f>
        <v/>
      </c>
      <c r="E190" t="str">
        <f>IF(PATIENTS!C190="","",PATIENTS!E190)</f>
        <v/>
      </c>
    </row>
    <row r="191" spans="1:5" x14ac:dyDescent="0.3">
      <c r="A191" t="str">
        <f>IF(PATIENTS!C191="","",PATIENTS!A191)</f>
        <v/>
      </c>
      <c r="B191" t="str">
        <f>IF(PATIENTS!C191="","",PATIENTS!B191)</f>
        <v/>
      </c>
      <c r="C191" t="str">
        <f>IF(PATIENTS!C191="","",PATIENTS!C191)</f>
        <v/>
      </c>
      <c r="D191" t="str">
        <f>IF(PATIENTS!C191="","",PATIENTS!D191)</f>
        <v/>
      </c>
      <c r="E191" t="str">
        <f>IF(PATIENTS!C191="","",PATIENTS!E191)</f>
        <v/>
      </c>
    </row>
    <row r="192" spans="1:5" x14ac:dyDescent="0.3">
      <c r="A192" t="str">
        <f>IF(PATIENTS!C192="","",PATIENTS!A192)</f>
        <v/>
      </c>
      <c r="B192" t="str">
        <f>IF(PATIENTS!C192="","",PATIENTS!B192)</f>
        <v/>
      </c>
      <c r="C192" t="str">
        <f>IF(PATIENTS!C192="","",PATIENTS!C192)</f>
        <v/>
      </c>
      <c r="D192" t="str">
        <f>IF(PATIENTS!C192="","",PATIENTS!D192)</f>
        <v/>
      </c>
      <c r="E192" t="str">
        <f>IF(PATIENTS!C192="","",PATIENTS!E192)</f>
        <v/>
      </c>
    </row>
    <row r="193" spans="1:5" x14ac:dyDescent="0.3">
      <c r="A193" t="str">
        <f>IF(PATIENTS!C193="","",PATIENTS!A193)</f>
        <v/>
      </c>
      <c r="B193" t="str">
        <f>IF(PATIENTS!C193="","",PATIENTS!B193)</f>
        <v/>
      </c>
      <c r="C193" t="str">
        <f>IF(PATIENTS!C193="","",PATIENTS!C193)</f>
        <v/>
      </c>
      <c r="D193" t="str">
        <f>IF(PATIENTS!C193="","",PATIENTS!D193)</f>
        <v/>
      </c>
      <c r="E193" t="str">
        <f>IF(PATIENTS!C193="","",PATIENTS!E193)</f>
        <v/>
      </c>
    </row>
    <row r="194" spans="1:5" x14ac:dyDescent="0.3">
      <c r="A194" t="str">
        <f>IF(PATIENTS!C194="","",PATIENTS!A194)</f>
        <v/>
      </c>
      <c r="B194" t="str">
        <f>IF(PATIENTS!C194="","",PATIENTS!B194)</f>
        <v/>
      </c>
      <c r="C194" t="str">
        <f>IF(PATIENTS!C194="","",PATIENTS!C194)</f>
        <v/>
      </c>
      <c r="D194" t="str">
        <f>IF(PATIENTS!C194="","",PATIENTS!D194)</f>
        <v/>
      </c>
      <c r="E194" t="str">
        <f>IF(PATIENTS!C194="","",PATIENTS!E194)</f>
        <v/>
      </c>
    </row>
    <row r="195" spans="1:5" x14ac:dyDescent="0.3">
      <c r="A195" t="str">
        <f>IF(PATIENTS!C195="","",PATIENTS!A195)</f>
        <v/>
      </c>
      <c r="B195" t="str">
        <f>IF(PATIENTS!C195="","",PATIENTS!B195)</f>
        <v/>
      </c>
      <c r="C195" t="str">
        <f>IF(PATIENTS!C195="","",PATIENTS!C195)</f>
        <v/>
      </c>
      <c r="D195" t="str">
        <f>IF(PATIENTS!C195="","",PATIENTS!D195)</f>
        <v/>
      </c>
      <c r="E195" t="str">
        <f>IF(PATIENTS!C195="","",PATIENTS!E195)</f>
        <v/>
      </c>
    </row>
    <row r="196" spans="1:5" x14ac:dyDescent="0.3">
      <c r="A196" t="str">
        <f>IF(PATIENTS!C196="","",PATIENTS!A196)</f>
        <v/>
      </c>
      <c r="B196" t="str">
        <f>IF(PATIENTS!C196="","",PATIENTS!B196)</f>
        <v/>
      </c>
      <c r="C196" t="str">
        <f>IF(PATIENTS!C196="","",PATIENTS!C196)</f>
        <v/>
      </c>
      <c r="D196" t="str">
        <f>IF(PATIENTS!C196="","",PATIENTS!D196)</f>
        <v/>
      </c>
      <c r="E196" t="str">
        <f>IF(PATIENTS!C196="","",PATIENTS!E196)</f>
        <v/>
      </c>
    </row>
    <row r="197" spans="1:5" x14ac:dyDescent="0.3">
      <c r="A197" t="str">
        <f>IF(PATIENTS!C197="","",PATIENTS!A197)</f>
        <v/>
      </c>
      <c r="B197" t="str">
        <f>IF(PATIENTS!C197="","",PATIENTS!B197)</f>
        <v/>
      </c>
      <c r="C197" t="str">
        <f>IF(PATIENTS!C197="","",PATIENTS!C197)</f>
        <v/>
      </c>
      <c r="D197" t="str">
        <f>IF(PATIENTS!C197="","",PATIENTS!D197)</f>
        <v/>
      </c>
      <c r="E197" t="str">
        <f>IF(PATIENTS!C197="","",PATIENTS!E197)</f>
        <v/>
      </c>
    </row>
    <row r="198" spans="1:5" x14ac:dyDescent="0.3">
      <c r="A198" t="str">
        <f>IF(PATIENTS!C198="","",PATIENTS!A198)</f>
        <v/>
      </c>
      <c r="B198" t="str">
        <f>IF(PATIENTS!C198="","",PATIENTS!B198)</f>
        <v/>
      </c>
      <c r="C198" t="str">
        <f>IF(PATIENTS!C198="","",PATIENTS!C198)</f>
        <v/>
      </c>
      <c r="D198" t="str">
        <f>IF(PATIENTS!C198="","",PATIENTS!D198)</f>
        <v/>
      </c>
      <c r="E198" t="str">
        <f>IF(PATIENTS!C198="","",PATIENTS!E198)</f>
        <v/>
      </c>
    </row>
    <row r="199" spans="1:5" x14ac:dyDescent="0.3">
      <c r="A199" t="str">
        <f>IF(PATIENTS!C199="","",PATIENTS!A199)</f>
        <v/>
      </c>
      <c r="B199" t="str">
        <f>IF(PATIENTS!C199="","",PATIENTS!B199)</f>
        <v/>
      </c>
      <c r="C199" t="str">
        <f>IF(PATIENTS!C199="","",PATIENTS!C199)</f>
        <v/>
      </c>
      <c r="D199" t="str">
        <f>IF(PATIENTS!C199="","",PATIENTS!D199)</f>
        <v/>
      </c>
      <c r="E199" t="str">
        <f>IF(PATIENTS!C199="","",PATIENTS!E199)</f>
        <v/>
      </c>
    </row>
    <row r="200" spans="1:5" x14ac:dyDescent="0.3">
      <c r="A200" t="str">
        <f>IF(PATIENTS!C200="","",PATIENTS!A200)</f>
        <v/>
      </c>
      <c r="B200" t="str">
        <f>IF(PATIENTS!C200="","",PATIENTS!B200)</f>
        <v/>
      </c>
      <c r="C200" t="str">
        <f>IF(PATIENTS!C200="","",PATIENTS!C200)</f>
        <v/>
      </c>
      <c r="D200" t="str">
        <f>IF(PATIENTS!C200="","",PATIENTS!D200)</f>
        <v/>
      </c>
      <c r="E200" t="str">
        <f>IF(PATIENTS!C200="","",PATIENTS!E200)</f>
        <v/>
      </c>
    </row>
    <row r="201" spans="1:5" x14ac:dyDescent="0.3">
      <c r="A201" t="str">
        <f>IF(PATIENTS!C201="","",PATIENTS!A201)</f>
        <v/>
      </c>
      <c r="B201" t="str">
        <f>IF(PATIENTS!C201="","",PATIENTS!B201)</f>
        <v/>
      </c>
      <c r="C201" t="str">
        <f>IF(PATIENTS!C201="","",PATIENTS!C201)</f>
        <v/>
      </c>
      <c r="D201" t="str">
        <f>IF(PATIENTS!C201="","",PATIENTS!D201)</f>
        <v/>
      </c>
      <c r="E201" t="str">
        <f>IF(PATIENTS!C201="","",PATIENTS!E201)</f>
        <v/>
      </c>
    </row>
    <row r="202" spans="1:5" x14ac:dyDescent="0.3">
      <c r="A202" t="str">
        <f>IF(PATIENTS!C202="","",PATIENTS!A202)</f>
        <v/>
      </c>
      <c r="B202" t="str">
        <f>IF(PATIENTS!C202="","",PATIENTS!B202)</f>
        <v/>
      </c>
      <c r="C202" t="str">
        <f>IF(PATIENTS!C202="","",PATIENTS!C202)</f>
        <v/>
      </c>
      <c r="D202" t="str">
        <f>IF(PATIENTS!C202="","",PATIENTS!D202)</f>
        <v/>
      </c>
      <c r="E202" t="str">
        <f>IF(PATIENTS!C202="","",PATIENTS!E202)</f>
        <v/>
      </c>
    </row>
    <row r="203" spans="1:5" x14ac:dyDescent="0.3">
      <c r="A203" t="str">
        <f>IF(PATIENTS!C203="","",PATIENTS!A203)</f>
        <v/>
      </c>
      <c r="B203" t="str">
        <f>IF(PATIENTS!C203="","",PATIENTS!B203)</f>
        <v/>
      </c>
      <c r="C203" t="str">
        <f>IF(PATIENTS!C203="","",PATIENTS!C203)</f>
        <v/>
      </c>
      <c r="D203" t="str">
        <f>IF(PATIENTS!C203="","",PATIENTS!D203)</f>
        <v/>
      </c>
      <c r="E203" t="str">
        <f>IF(PATIENTS!C203="","",PATIENTS!E203)</f>
        <v/>
      </c>
    </row>
    <row r="204" spans="1:5" x14ac:dyDescent="0.3">
      <c r="A204" t="str">
        <f>IF(PATIENTS!C204="","",PATIENTS!A204)</f>
        <v/>
      </c>
      <c r="B204" t="str">
        <f>IF(PATIENTS!C204="","",PATIENTS!B204)</f>
        <v/>
      </c>
      <c r="C204" t="str">
        <f>IF(PATIENTS!C204="","",PATIENTS!C204)</f>
        <v/>
      </c>
      <c r="D204" t="str">
        <f>IF(PATIENTS!C204="","",PATIENTS!D204)</f>
        <v/>
      </c>
      <c r="E204" t="str">
        <f>IF(PATIENTS!C204="","",PATIENTS!E204)</f>
        <v/>
      </c>
    </row>
    <row r="205" spans="1:5" x14ac:dyDescent="0.3">
      <c r="A205" t="str">
        <f>IF(PATIENTS!C205="","",PATIENTS!A205)</f>
        <v/>
      </c>
      <c r="B205" t="str">
        <f>IF(PATIENTS!C205="","",PATIENTS!B205)</f>
        <v/>
      </c>
      <c r="C205" t="str">
        <f>IF(PATIENTS!C205="","",PATIENTS!C205)</f>
        <v/>
      </c>
      <c r="D205" t="str">
        <f>IF(PATIENTS!C205="","",PATIENTS!D205)</f>
        <v/>
      </c>
      <c r="E205" t="str">
        <f>IF(PATIENTS!C205="","",PATIENTS!E205)</f>
        <v/>
      </c>
    </row>
    <row r="206" spans="1:5" x14ac:dyDescent="0.3">
      <c r="A206" t="str">
        <f>IF(PATIENTS!C206="","",PATIENTS!A206)</f>
        <v/>
      </c>
      <c r="B206" t="str">
        <f>IF(PATIENTS!C206="","",PATIENTS!B206)</f>
        <v/>
      </c>
      <c r="C206" t="str">
        <f>IF(PATIENTS!C206="","",PATIENTS!C206)</f>
        <v/>
      </c>
      <c r="D206" t="str">
        <f>IF(PATIENTS!C206="","",PATIENTS!D206)</f>
        <v/>
      </c>
      <c r="E206" t="str">
        <f>IF(PATIENTS!C206="","",PATIENTS!E206)</f>
        <v/>
      </c>
    </row>
    <row r="207" spans="1:5" x14ac:dyDescent="0.3">
      <c r="A207" t="str">
        <f>IF(PATIENTS!C207="","",PATIENTS!A207)</f>
        <v/>
      </c>
      <c r="B207" t="str">
        <f>IF(PATIENTS!C207="","",PATIENTS!B207)</f>
        <v/>
      </c>
      <c r="C207" t="str">
        <f>IF(PATIENTS!C207="","",PATIENTS!C207)</f>
        <v/>
      </c>
      <c r="D207" t="str">
        <f>IF(PATIENTS!C207="","",PATIENTS!D207)</f>
        <v/>
      </c>
      <c r="E207" t="str">
        <f>IF(PATIENTS!C207="","",PATIENTS!E207)</f>
        <v/>
      </c>
    </row>
    <row r="208" spans="1:5" x14ac:dyDescent="0.3">
      <c r="A208" t="str">
        <f>IF(PATIENTS!C208="","",PATIENTS!A208)</f>
        <v/>
      </c>
      <c r="B208" t="str">
        <f>IF(PATIENTS!C208="","",PATIENTS!B208)</f>
        <v/>
      </c>
      <c r="C208" t="str">
        <f>IF(PATIENTS!C208="","",PATIENTS!C208)</f>
        <v/>
      </c>
      <c r="D208" t="str">
        <f>IF(PATIENTS!C208="","",PATIENTS!D208)</f>
        <v/>
      </c>
      <c r="E208" t="str">
        <f>IF(PATIENTS!C208="","",PATIENTS!E208)</f>
        <v/>
      </c>
    </row>
    <row r="209" spans="1:5" x14ac:dyDescent="0.3">
      <c r="A209" t="str">
        <f>IF(PATIENTS!C209="","",PATIENTS!A209)</f>
        <v/>
      </c>
      <c r="B209" t="str">
        <f>IF(PATIENTS!C209="","",PATIENTS!B209)</f>
        <v/>
      </c>
      <c r="C209" t="str">
        <f>IF(PATIENTS!C209="","",PATIENTS!C209)</f>
        <v/>
      </c>
      <c r="D209" t="str">
        <f>IF(PATIENTS!C209="","",PATIENTS!D209)</f>
        <v/>
      </c>
      <c r="E209" t="str">
        <f>IF(PATIENTS!C209="","",PATIENTS!E209)</f>
        <v/>
      </c>
    </row>
    <row r="210" spans="1:5" x14ac:dyDescent="0.3">
      <c r="A210" t="str">
        <f>IF(PATIENTS!C210="","",PATIENTS!A210)</f>
        <v/>
      </c>
      <c r="B210" t="str">
        <f>IF(PATIENTS!C210="","",PATIENTS!B210)</f>
        <v/>
      </c>
      <c r="C210" t="str">
        <f>IF(PATIENTS!C210="","",PATIENTS!C210)</f>
        <v/>
      </c>
      <c r="D210" t="str">
        <f>IF(PATIENTS!C210="","",PATIENTS!D210)</f>
        <v/>
      </c>
      <c r="E210" t="str">
        <f>IF(PATIENTS!C210="","",PATIENTS!E210)</f>
        <v/>
      </c>
    </row>
    <row r="211" spans="1:5" x14ac:dyDescent="0.3">
      <c r="A211" t="str">
        <f>IF(PATIENTS!C211="","",PATIENTS!A211)</f>
        <v/>
      </c>
      <c r="B211" t="str">
        <f>IF(PATIENTS!C211="","",PATIENTS!B211)</f>
        <v/>
      </c>
      <c r="C211" t="str">
        <f>IF(PATIENTS!C211="","",PATIENTS!C211)</f>
        <v/>
      </c>
      <c r="D211" t="str">
        <f>IF(PATIENTS!C211="","",PATIENTS!D211)</f>
        <v/>
      </c>
      <c r="E211" t="str">
        <f>IF(PATIENTS!C211="","",PATIENTS!E211)</f>
        <v/>
      </c>
    </row>
    <row r="212" spans="1:5" x14ac:dyDescent="0.3">
      <c r="A212" t="str">
        <f>IF(PATIENTS!C212="","",PATIENTS!A212)</f>
        <v/>
      </c>
      <c r="B212" t="str">
        <f>IF(PATIENTS!C212="","",PATIENTS!B212)</f>
        <v/>
      </c>
      <c r="C212" t="str">
        <f>IF(PATIENTS!C212="","",PATIENTS!C212)</f>
        <v/>
      </c>
      <c r="D212" t="str">
        <f>IF(PATIENTS!C212="","",PATIENTS!D212)</f>
        <v/>
      </c>
      <c r="E212" t="str">
        <f>IF(PATIENTS!C212="","",PATIENTS!E212)</f>
        <v/>
      </c>
    </row>
    <row r="213" spans="1:5" x14ac:dyDescent="0.3">
      <c r="A213" t="str">
        <f>IF(PATIENTS!C213="","",PATIENTS!A213)</f>
        <v/>
      </c>
      <c r="B213" t="str">
        <f>IF(PATIENTS!C213="","",PATIENTS!B213)</f>
        <v/>
      </c>
      <c r="C213" t="str">
        <f>IF(PATIENTS!C213="","",PATIENTS!C213)</f>
        <v/>
      </c>
      <c r="D213" t="str">
        <f>IF(PATIENTS!C213="","",PATIENTS!D213)</f>
        <v/>
      </c>
      <c r="E213" t="str">
        <f>IF(PATIENTS!C213="","",PATIENTS!E213)</f>
        <v/>
      </c>
    </row>
    <row r="214" spans="1:5" x14ac:dyDescent="0.3">
      <c r="A214" t="str">
        <f>IF(PATIENTS!C214="","",PATIENTS!A214)</f>
        <v/>
      </c>
      <c r="B214" t="str">
        <f>IF(PATIENTS!C214="","",PATIENTS!B214)</f>
        <v/>
      </c>
      <c r="C214" t="str">
        <f>IF(PATIENTS!C214="","",PATIENTS!C214)</f>
        <v/>
      </c>
      <c r="D214" t="str">
        <f>IF(PATIENTS!C214="","",PATIENTS!D214)</f>
        <v/>
      </c>
      <c r="E214" t="str">
        <f>IF(PATIENTS!C214="","",PATIENTS!E214)</f>
        <v/>
      </c>
    </row>
    <row r="215" spans="1:5" x14ac:dyDescent="0.3">
      <c r="A215" t="str">
        <f>IF(PATIENTS!C215="","",PATIENTS!A215)</f>
        <v/>
      </c>
      <c r="B215" t="str">
        <f>IF(PATIENTS!C215="","",PATIENTS!B215)</f>
        <v/>
      </c>
      <c r="C215" t="str">
        <f>IF(PATIENTS!C215="","",PATIENTS!C215)</f>
        <v/>
      </c>
      <c r="D215" t="str">
        <f>IF(PATIENTS!C215="","",PATIENTS!D215)</f>
        <v/>
      </c>
      <c r="E215" t="str">
        <f>IF(PATIENTS!C215="","",PATIENTS!E215)</f>
        <v/>
      </c>
    </row>
    <row r="216" spans="1:5" x14ac:dyDescent="0.3">
      <c r="A216" t="str">
        <f>IF(PATIENTS!C216="","",PATIENTS!A216)</f>
        <v/>
      </c>
      <c r="B216" t="str">
        <f>IF(PATIENTS!C216="","",PATIENTS!B216)</f>
        <v/>
      </c>
      <c r="C216" t="str">
        <f>IF(PATIENTS!C216="","",PATIENTS!C216)</f>
        <v/>
      </c>
      <c r="D216" t="str">
        <f>IF(PATIENTS!C216="","",PATIENTS!D216)</f>
        <v/>
      </c>
      <c r="E216" t="str">
        <f>IF(PATIENTS!C216="","",PATIENTS!E216)</f>
        <v/>
      </c>
    </row>
    <row r="217" spans="1:5" x14ac:dyDescent="0.3">
      <c r="A217" t="str">
        <f>IF(PATIENTS!C217="","",PATIENTS!A217)</f>
        <v/>
      </c>
      <c r="B217" t="str">
        <f>IF(PATIENTS!C217="","",PATIENTS!B217)</f>
        <v/>
      </c>
      <c r="C217" t="str">
        <f>IF(PATIENTS!C217="","",PATIENTS!C217)</f>
        <v/>
      </c>
      <c r="D217" t="str">
        <f>IF(PATIENTS!C217="","",PATIENTS!D217)</f>
        <v/>
      </c>
      <c r="E217" t="str">
        <f>IF(PATIENTS!C217="","",PATIENTS!E217)</f>
        <v/>
      </c>
    </row>
    <row r="218" spans="1:5" x14ac:dyDescent="0.3">
      <c r="A218" t="str">
        <f>IF(PATIENTS!C218="","",PATIENTS!A218)</f>
        <v/>
      </c>
      <c r="B218" t="str">
        <f>IF(PATIENTS!C218="","",PATIENTS!B218)</f>
        <v/>
      </c>
      <c r="C218" t="str">
        <f>IF(PATIENTS!C218="","",PATIENTS!C218)</f>
        <v/>
      </c>
      <c r="D218" t="str">
        <f>IF(PATIENTS!C218="","",PATIENTS!D218)</f>
        <v/>
      </c>
      <c r="E218" t="str">
        <f>IF(PATIENTS!C218="","",PATIENTS!E218)</f>
        <v/>
      </c>
    </row>
    <row r="219" spans="1:5" x14ac:dyDescent="0.3">
      <c r="A219" t="str">
        <f>IF(PATIENTS!C219="","",PATIENTS!A219)</f>
        <v/>
      </c>
      <c r="B219" t="str">
        <f>IF(PATIENTS!C219="","",PATIENTS!B219)</f>
        <v/>
      </c>
      <c r="C219" t="str">
        <f>IF(PATIENTS!C219="","",PATIENTS!C219)</f>
        <v/>
      </c>
      <c r="D219" t="str">
        <f>IF(PATIENTS!C219="","",PATIENTS!D219)</f>
        <v/>
      </c>
      <c r="E219" t="str">
        <f>IF(PATIENTS!C219="","",PATIENTS!E219)</f>
        <v/>
      </c>
    </row>
    <row r="220" spans="1:5" x14ac:dyDescent="0.3">
      <c r="A220" t="str">
        <f>IF(PATIENTS!C220="","",PATIENTS!A220)</f>
        <v/>
      </c>
      <c r="B220" t="str">
        <f>IF(PATIENTS!C220="","",PATIENTS!B220)</f>
        <v/>
      </c>
      <c r="C220" t="str">
        <f>IF(PATIENTS!C220="","",PATIENTS!C220)</f>
        <v/>
      </c>
      <c r="D220" t="str">
        <f>IF(PATIENTS!C220="","",PATIENTS!D220)</f>
        <v/>
      </c>
      <c r="E220" t="str">
        <f>IF(PATIENTS!C220="","",PATIENTS!E220)</f>
        <v/>
      </c>
    </row>
    <row r="221" spans="1:5" x14ac:dyDescent="0.3">
      <c r="A221" t="str">
        <f>IF(PATIENTS!C221="","",PATIENTS!A221)</f>
        <v/>
      </c>
      <c r="B221" t="str">
        <f>IF(PATIENTS!C221="","",PATIENTS!B221)</f>
        <v/>
      </c>
      <c r="C221" t="str">
        <f>IF(PATIENTS!C221="","",PATIENTS!C221)</f>
        <v/>
      </c>
      <c r="D221" t="str">
        <f>IF(PATIENTS!C221="","",PATIENTS!D221)</f>
        <v/>
      </c>
      <c r="E221" t="str">
        <f>IF(PATIENTS!C221="","",PATIENTS!E221)</f>
        <v/>
      </c>
    </row>
    <row r="222" spans="1:5" x14ac:dyDescent="0.3">
      <c r="A222" t="str">
        <f>IF(PATIENTS!C222="","",PATIENTS!A222)</f>
        <v/>
      </c>
      <c r="B222" t="str">
        <f>IF(PATIENTS!C222="","",PATIENTS!B222)</f>
        <v/>
      </c>
      <c r="C222" t="str">
        <f>IF(PATIENTS!C222="","",PATIENTS!C222)</f>
        <v/>
      </c>
      <c r="D222" t="str">
        <f>IF(PATIENTS!C222="","",PATIENTS!D222)</f>
        <v/>
      </c>
      <c r="E222" t="str">
        <f>IF(PATIENTS!C222="","",PATIENTS!E222)</f>
        <v/>
      </c>
    </row>
    <row r="223" spans="1:5" x14ac:dyDescent="0.3">
      <c r="A223" t="str">
        <f>IF(PATIENTS!C223="","",PATIENTS!A223)</f>
        <v/>
      </c>
      <c r="B223" t="str">
        <f>IF(PATIENTS!C223="","",PATIENTS!B223)</f>
        <v/>
      </c>
      <c r="C223" t="str">
        <f>IF(PATIENTS!C223="","",PATIENTS!C223)</f>
        <v/>
      </c>
      <c r="D223" t="str">
        <f>IF(PATIENTS!C223="","",PATIENTS!D223)</f>
        <v/>
      </c>
      <c r="E223" t="str">
        <f>IF(PATIENTS!C223="","",PATIENTS!E223)</f>
        <v/>
      </c>
    </row>
    <row r="224" spans="1:5" x14ac:dyDescent="0.3">
      <c r="A224" t="str">
        <f>IF(PATIENTS!C224="","",PATIENTS!A224)</f>
        <v/>
      </c>
      <c r="B224" t="str">
        <f>IF(PATIENTS!C224="","",PATIENTS!B224)</f>
        <v/>
      </c>
      <c r="C224" t="str">
        <f>IF(PATIENTS!C224="","",PATIENTS!C224)</f>
        <v/>
      </c>
      <c r="D224" t="str">
        <f>IF(PATIENTS!C224="","",PATIENTS!D224)</f>
        <v/>
      </c>
      <c r="E224" t="str">
        <f>IF(PATIENTS!C224="","",PATIENTS!E224)</f>
        <v/>
      </c>
    </row>
    <row r="225" spans="1:5" x14ac:dyDescent="0.3">
      <c r="A225" t="str">
        <f>IF(PATIENTS!C225="","",PATIENTS!A225)</f>
        <v/>
      </c>
      <c r="B225" t="str">
        <f>IF(PATIENTS!C225="","",PATIENTS!B225)</f>
        <v/>
      </c>
      <c r="C225" t="str">
        <f>IF(PATIENTS!C225="","",PATIENTS!C225)</f>
        <v/>
      </c>
      <c r="D225" t="str">
        <f>IF(PATIENTS!C225="","",PATIENTS!D225)</f>
        <v/>
      </c>
      <c r="E225" t="str">
        <f>IF(PATIENTS!C225="","",PATIENTS!E225)</f>
        <v/>
      </c>
    </row>
    <row r="226" spans="1:5" x14ac:dyDescent="0.3">
      <c r="A226" t="str">
        <f>IF(PATIENTS!C226="","",PATIENTS!A226)</f>
        <v/>
      </c>
      <c r="B226" t="str">
        <f>IF(PATIENTS!C226="","",PATIENTS!B226)</f>
        <v/>
      </c>
      <c r="C226" t="str">
        <f>IF(PATIENTS!C226="","",PATIENTS!C226)</f>
        <v/>
      </c>
      <c r="D226" t="str">
        <f>IF(PATIENTS!C226="","",PATIENTS!D226)</f>
        <v/>
      </c>
      <c r="E226" t="str">
        <f>IF(PATIENTS!C226="","",PATIENTS!E226)</f>
        <v/>
      </c>
    </row>
    <row r="227" spans="1:5" x14ac:dyDescent="0.3">
      <c r="A227" t="str">
        <f>IF(PATIENTS!C227="","",PATIENTS!A227)</f>
        <v/>
      </c>
      <c r="B227" t="str">
        <f>IF(PATIENTS!C227="","",PATIENTS!B227)</f>
        <v/>
      </c>
      <c r="C227" t="str">
        <f>IF(PATIENTS!C227="","",PATIENTS!C227)</f>
        <v/>
      </c>
      <c r="D227" t="str">
        <f>IF(PATIENTS!C227="","",PATIENTS!D227)</f>
        <v/>
      </c>
      <c r="E227" t="str">
        <f>IF(PATIENTS!C227="","",PATIENTS!E227)</f>
        <v/>
      </c>
    </row>
    <row r="228" spans="1:5" x14ac:dyDescent="0.3">
      <c r="A228" t="str">
        <f>IF(PATIENTS!C228="","",PATIENTS!A228)</f>
        <v/>
      </c>
      <c r="B228" t="str">
        <f>IF(PATIENTS!C228="","",PATIENTS!B228)</f>
        <v/>
      </c>
      <c r="C228" t="str">
        <f>IF(PATIENTS!C228="","",PATIENTS!C228)</f>
        <v/>
      </c>
      <c r="D228" t="str">
        <f>IF(PATIENTS!C228="","",PATIENTS!D228)</f>
        <v/>
      </c>
      <c r="E228" t="str">
        <f>IF(PATIENTS!C228="","",PATIENTS!E228)</f>
        <v/>
      </c>
    </row>
    <row r="229" spans="1:5" x14ac:dyDescent="0.3">
      <c r="A229" t="str">
        <f>IF(PATIENTS!C229="","",PATIENTS!A229)</f>
        <v/>
      </c>
      <c r="B229" t="str">
        <f>IF(PATIENTS!C229="","",PATIENTS!B229)</f>
        <v/>
      </c>
      <c r="C229" t="str">
        <f>IF(PATIENTS!C229="","",PATIENTS!C229)</f>
        <v/>
      </c>
      <c r="D229" t="str">
        <f>IF(PATIENTS!C229="","",PATIENTS!D229)</f>
        <v/>
      </c>
      <c r="E229" t="str">
        <f>IF(PATIENTS!C229="","",PATIENTS!E229)</f>
        <v/>
      </c>
    </row>
    <row r="230" spans="1:5" x14ac:dyDescent="0.3">
      <c r="A230" t="str">
        <f>IF(PATIENTS!C230="","",PATIENTS!A230)</f>
        <v/>
      </c>
      <c r="B230" t="str">
        <f>IF(PATIENTS!C230="","",PATIENTS!B230)</f>
        <v/>
      </c>
      <c r="C230" t="str">
        <f>IF(PATIENTS!C230="","",PATIENTS!C230)</f>
        <v/>
      </c>
      <c r="D230" t="str">
        <f>IF(PATIENTS!C230="","",PATIENTS!D230)</f>
        <v/>
      </c>
      <c r="E230" t="str">
        <f>IF(PATIENTS!C230="","",PATIENTS!E230)</f>
        <v/>
      </c>
    </row>
    <row r="231" spans="1:5" x14ac:dyDescent="0.3">
      <c r="A231" t="str">
        <f>IF(PATIENTS!C231="","",PATIENTS!A231)</f>
        <v/>
      </c>
      <c r="B231" t="str">
        <f>IF(PATIENTS!C231="","",PATIENTS!B231)</f>
        <v/>
      </c>
      <c r="C231" t="str">
        <f>IF(PATIENTS!C231="","",PATIENTS!C231)</f>
        <v/>
      </c>
      <c r="D231" t="str">
        <f>IF(PATIENTS!C231="","",PATIENTS!D231)</f>
        <v/>
      </c>
      <c r="E231" t="str">
        <f>IF(PATIENTS!C231="","",PATIENTS!E231)</f>
        <v/>
      </c>
    </row>
    <row r="232" spans="1:5" x14ac:dyDescent="0.3">
      <c r="A232" t="str">
        <f>IF(PATIENTS!C232="","",PATIENTS!A232)</f>
        <v/>
      </c>
      <c r="B232" t="str">
        <f>IF(PATIENTS!C232="","",PATIENTS!B232)</f>
        <v/>
      </c>
      <c r="C232" t="str">
        <f>IF(PATIENTS!C232="","",PATIENTS!C232)</f>
        <v/>
      </c>
      <c r="D232" t="str">
        <f>IF(PATIENTS!C232="","",PATIENTS!D232)</f>
        <v/>
      </c>
      <c r="E232" t="str">
        <f>IF(PATIENTS!C232="","",PATIENTS!E232)</f>
        <v/>
      </c>
    </row>
    <row r="233" spans="1:5" x14ac:dyDescent="0.3">
      <c r="A233" t="str">
        <f>IF(PATIENTS!C233="","",PATIENTS!A233)</f>
        <v/>
      </c>
      <c r="B233" t="str">
        <f>IF(PATIENTS!C233="","",PATIENTS!B233)</f>
        <v/>
      </c>
      <c r="C233" t="str">
        <f>IF(PATIENTS!C233="","",PATIENTS!C233)</f>
        <v/>
      </c>
      <c r="D233" t="str">
        <f>IF(PATIENTS!C233="","",PATIENTS!D233)</f>
        <v/>
      </c>
      <c r="E233" t="str">
        <f>IF(PATIENTS!C233="","",PATIENTS!E233)</f>
        <v/>
      </c>
    </row>
    <row r="234" spans="1:5" x14ac:dyDescent="0.3">
      <c r="A234" t="str">
        <f>IF(PATIENTS!C234="","",PATIENTS!A234)</f>
        <v/>
      </c>
      <c r="B234" t="str">
        <f>IF(PATIENTS!C234="","",PATIENTS!B234)</f>
        <v/>
      </c>
      <c r="C234" t="str">
        <f>IF(PATIENTS!C234="","",PATIENTS!C234)</f>
        <v/>
      </c>
      <c r="D234" t="str">
        <f>IF(PATIENTS!C234="","",PATIENTS!D234)</f>
        <v/>
      </c>
      <c r="E234" t="str">
        <f>IF(PATIENTS!C234="","",PATIENTS!E234)</f>
        <v/>
      </c>
    </row>
    <row r="235" spans="1:5" x14ac:dyDescent="0.3">
      <c r="A235" t="str">
        <f>IF(PATIENTS!C235="","",PATIENTS!A235)</f>
        <v/>
      </c>
      <c r="B235" t="str">
        <f>IF(PATIENTS!C235="","",PATIENTS!B235)</f>
        <v/>
      </c>
      <c r="C235" t="str">
        <f>IF(PATIENTS!C235="","",PATIENTS!C235)</f>
        <v/>
      </c>
      <c r="D235" t="str">
        <f>IF(PATIENTS!C235="","",PATIENTS!D235)</f>
        <v/>
      </c>
      <c r="E235" t="str">
        <f>IF(PATIENTS!C235="","",PATIENTS!E235)</f>
        <v/>
      </c>
    </row>
    <row r="236" spans="1:5" x14ac:dyDescent="0.3">
      <c r="A236" t="str">
        <f>IF(PATIENTS!C236="","",PATIENTS!A236)</f>
        <v/>
      </c>
      <c r="B236" t="str">
        <f>IF(PATIENTS!C236="","",PATIENTS!B236)</f>
        <v/>
      </c>
      <c r="C236" t="str">
        <f>IF(PATIENTS!C236="","",PATIENTS!C236)</f>
        <v/>
      </c>
      <c r="D236" t="str">
        <f>IF(PATIENTS!C236="","",PATIENTS!D236)</f>
        <v/>
      </c>
      <c r="E236" t="str">
        <f>IF(PATIENTS!C236="","",PATIENTS!E236)</f>
        <v/>
      </c>
    </row>
    <row r="237" spans="1:5" x14ac:dyDescent="0.3">
      <c r="A237" t="str">
        <f>IF(PATIENTS!C237="","",PATIENTS!A237)</f>
        <v/>
      </c>
      <c r="B237" t="str">
        <f>IF(PATIENTS!C237="","",PATIENTS!B237)</f>
        <v/>
      </c>
      <c r="C237" t="str">
        <f>IF(PATIENTS!C237="","",PATIENTS!C237)</f>
        <v/>
      </c>
      <c r="D237" t="str">
        <f>IF(PATIENTS!C237="","",PATIENTS!D237)</f>
        <v/>
      </c>
      <c r="E237" t="str">
        <f>IF(PATIENTS!C237="","",PATIENTS!E237)</f>
        <v/>
      </c>
    </row>
    <row r="238" spans="1:5" x14ac:dyDescent="0.3">
      <c r="A238" t="str">
        <f>IF(PATIENTS!C238="","",PATIENTS!A238)</f>
        <v/>
      </c>
      <c r="B238" t="str">
        <f>IF(PATIENTS!C238="","",PATIENTS!B238)</f>
        <v/>
      </c>
      <c r="C238" t="str">
        <f>IF(PATIENTS!C238="","",PATIENTS!C238)</f>
        <v/>
      </c>
      <c r="D238" t="str">
        <f>IF(PATIENTS!C238="","",PATIENTS!D238)</f>
        <v/>
      </c>
      <c r="E238" t="str">
        <f>IF(PATIENTS!C238="","",PATIENTS!E238)</f>
        <v/>
      </c>
    </row>
    <row r="239" spans="1:5" x14ac:dyDescent="0.3">
      <c r="A239" t="str">
        <f>IF(PATIENTS!C239="","",PATIENTS!A239)</f>
        <v/>
      </c>
      <c r="B239" t="str">
        <f>IF(PATIENTS!C239="","",PATIENTS!B239)</f>
        <v/>
      </c>
      <c r="C239" t="str">
        <f>IF(PATIENTS!C239="","",PATIENTS!C239)</f>
        <v/>
      </c>
      <c r="D239" t="str">
        <f>IF(PATIENTS!C239="","",PATIENTS!D239)</f>
        <v/>
      </c>
      <c r="E239" t="str">
        <f>IF(PATIENTS!C239="","",PATIENTS!E239)</f>
        <v/>
      </c>
    </row>
    <row r="240" spans="1:5" x14ac:dyDescent="0.3">
      <c r="A240" t="str">
        <f>IF(PATIENTS!C240="","",PATIENTS!A240)</f>
        <v/>
      </c>
      <c r="B240" t="str">
        <f>IF(PATIENTS!C240="","",PATIENTS!B240)</f>
        <v/>
      </c>
      <c r="C240" t="str">
        <f>IF(PATIENTS!C240="","",PATIENTS!C240)</f>
        <v/>
      </c>
      <c r="D240" t="str">
        <f>IF(PATIENTS!C240="","",PATIENTS!D240)</f>
        <v/>
      </c>
      <c r="E240" t="str">
        <f>IF(PATIENTS!C240="","",PATIENTS!E240)</f>
        <v/>
      </c>
    </row>
    <row r="241" spans="1:5" x14ac:dyDescent="0.3">
      <c r="A241" t="str">
        <f>IF(PATIENTS!C241="","",PATIENTS!A241)</f>
        <v/>
      </c>
      <c r="B241" t="str">
        <f>IF(PATIENTS!C241="","",PATIENTS!B241)</f>
        <v/>
      </c>
      <c r="C241" t="str">
        <f>IF(PATIENTS!C241="","",PATIENTS!C241)</f>
        <v/>
      </c>
      <c r="D241" t="str">
        <f>IF(PATIENTS!C241="","",PATIENTS!D241)</f>
        <v/>
      </c>
      <c r="E241" t="str">
        <f>IF(PATIENTS!C241="","",PATIENTS!E241)</f>
        <v/>
      </c>
    </row>
    <row r="242" spans="1:5" x14ac:dyDescent="0.3">
      <c r="A242" t="str">
        <f>IF(PATIENTS!C242="","",PATIENTS!A242)</f>
        <v/>
      </c>
      <c r="B242" t="str">
        <f>IF(PATIENTS!C242="","",PATIENTS!B242)</f>
        <v/>
      </c>
      <c r="C242" t="str">
        <f>IF(PATIENTS!C242="","",PATIENTS!C242)</f>
        <v/>
      </c>
      <c r="D242" t="str">
        <f>IF(PATIENTS!C242="","",PATIENTS!D242)</f>
        <v/>
      </c>
      <c r="E242" t="str">
        <f>IF(PATIENTS!C242="","",PATIENTS!E242)</f>
        <v/>
      </c>
    </row>
    <row r="243" spans="1:5" x14ac:dyDescent="0.3">
      <c r="A243" t="str">
        <f>IF(PATIENTS!C243="","",PATIENTS!A243)</f>
        <v/>
      </c>
      <c r="B243" t="str">
        <f>IF(PATIENTS!C243="","",PATIENTS!B243)</f>
        <v/>
      </c>
      <c r="C243" t="str">
        <f>IF(PATIENTS!C243="","",PATIENTS!C243)</f>
        <v/>
      </c>
      <c r="D243" t="str">
        <f>IF(PATIENTS!C243="","",PATIENTS!D243)</f>
        <v/>
      </c>
      <c r="E243" t="str">
        <f>IF(PATIENTS!C243="","",PATIENTS!E243)</f>
        <v/>
      </c>
    </row>
    <row r="244" spans="1:5" x14ac:dyDescent="0.3">
      <c r="A244" t="str">
        <f>IF(PATIENTS!C244="","",PATIENTS!A244)</f>
        <v/>
      </c>
      <c r="B244" t="str">
        <f>IF(PATIENTS!C244="","",PATIENTS!B244)</f>
        <v/>
      </c>
      <c r="C244" t="str">
        <f>IF(PATIENTS!C244="","",PATIENTS!C244)</f>
        <v/>
      </c>
      <c r="D244" t="str">
        <f>IF(PATIENTS!C244="","",PATIENTS!D244)</f>
        <v/>
      </c>
      <c r="E244" t="str">
        <f>IF(PATIENTS!C244="","",PATIENTS!E244)</f>
        <v/>
      </c>
    </row>
    <row r="245" spans="1:5" x14ac:dyDescent="0.3">
      <c r="A245" t="str">
        <f>IF(PATIENTS!C245="","",PATIENTS!A245)</f>
        <v/>
      </c>
      <c r="B245" t="str">
        <f>IF(PATIENTS!C245="","",PATIENTS!B245)</f>
        <v/>
      </c>
      <c r="C245" t="str">
        <f>IF(PATIENTS!C245="","",PATIENTS!C245)</f>
        <v/>
      </c>
      <c r="D245" t="str">
        <f>IF(PATIENTS!C245="","",PATIENTS!D245)</f>
        <v/>
      </c>
      <c r="E245" t="str">
        <f>IF(PATIENTS!C245="","",PATIENTS!E245)</f>
        <v/>
      </c>
    </row>
    <row r="246" spans="1:5" x14ac:dyDescent="0.3">
      <c r="A246" t="str">
        <f>IF(PATIENTS!C246="","",PATIENTS!A246)</f>
        <v/>
      </c>
      <c r="B246" t="str">
        <f>IF(PATIENTS!C246="","",PATIENTS!B246)</f>
        <v/>
      </c>
      <c r="C246" t="str">
        <f>IF(PATIENTS!C246="","",PATIENTS!C246)</f>
        <v/>
      </c>
      <c r="D246" t="str">
        <f>IF(PATIENTS!C246="","",PATIENTS!D246)</f>
        <v/>
      </c>
      <c r="E246" t="str">
        <f>IF(PATIENTS!C246="","",PATIENTS!E246)</f>
        <v/>
      </c>
    </row>
    <row r="247" spans="1:5" x14ac:dyDescent="0.3">
      <c r="A247" t="str">
        <f>IF(PATIENTS!C247="","",PATIENTS!A247)</f>
        <v/>
      </c>
      <c r="B247" t="str">
        <f>IF(PATIENTS!C247="","",PATIENTS!B247)</f>
        <v/>
      </c>
      <c r="C247" t="str">
        <f>IF(PATIENTS!C247="","",PATIENTS!C247)</f>
        <v/>
      </c>
      <c r="D247" t="str">
        <f>IF(PATIENTS!C247="","",PATIENTS!D247)</f>
        <v/>
      </c>
      <c r="E247" t="str">
        <f>IF(PATIENTS!C247="","",PATIENTS!E247)</f>
        <v/>
      </c>
    </row>
    <row r="248" spans="1:5" x14ac:dyDescent="0.3">
      <c r="A248" t="str">
        <f>IF(PATIENTS!C248="","",PATIENTS!A248)</f>
        <v/>
      </c>
      <c r="B248" t="str">
        <f>IF(PATIENTS!C248="","",PATIENTS!B248)</f>
        <v/>
      </c>
      <c r="C248" t="str">
        <f>IF(PATIENTS!C248="","",PATIENTS!C248)</f>
        <v/>
      </c>
      <c r="D248" t="str">
        <f>IF(PATIENTS!C248="","",PATIENTS!D248)</f>
        <v/>
      </c>
      <c r="E248" t="str">
        <f>IF(PATIENTS!C248="","",PATIENTS!E248)</f>
        <v/>
      </c>
    </row>
    <row r="249" spans="1:5" x14ac:dyDescent="0.3">
      <c r="A249" t="str">
        <f>IF(PATIENTS!C249="","",PATIENTS!A249)</f>
        <v/>
      </c>
      <c r="B249" t="str">
        <f>IF(PATIENTS!C249="","",PATIENTS!B249)</f>
        <v/>
      </c>
      <c r="C249" t="str">
        <f>IF(PATIENTS!C249="","",PATIENTS!C249)</f>
        <v/>
      </c>
      <c r="D249" t="str">
        <f>IF(PATIENTS!C249="","",PATIENTS!D249)</f>
        <v/>
      </c>
      <c r="E249" t="str">
        <f>IF(PATIENTS!C249="","",PATIENTS!E249)</f>
        <v/>
      </c>
    </row>
    <row r="250" spans="1:5" x14ac:dyDescent="0.3">
      <c r="A250" t="str">
        <f>IF(PATIENTS!C250="","",PATIENTS!A250)</f>
        <v/>
      </c>
      <c r="B250" t="str">
        <f>IF(PATIENTS!C250="","",PATIENTS!B250)</f>
        <v/>
      </c>
      <c r="C250" t="str">
        <f>IF(PATIENTS!C250="","",PATIENTS!C250)</f>
        <v/>
      </c>
      <c r="D250" t="str">
        <f>IF(PATIENTS!C250="","",PATIENTS!D250)</f>
        <v/>
      </c>
      <c r="E250" t="str">
        <f>IF(PATIENTS!C250="","",PATIENTS!E250)</f>
        <v/>
      </c>
    </row>
    <row r="251" spans="1:5" x14ac:dyDescent="0.3">
      <c r="A251" t="str">
        <f>IF(PATIENTS!C251="","",PATIENTS!A251)</f>
        <v/>
      </c>
      <c r="B251" t="str">
        <f>IF(PATIENTS!C251="","",PATIENTS!B251)</f>
        <v/>
      </c>
      <c r="C251" t="str">
        <f>IF(PATIENTS!C251="","",PATIENTS!C251)</f>
        <v/>
      </c>
      <c r="D251" t="str">
        <f>IF(PATIENTS!C251="","",PATIENTS!D251)</f>
        <v/>
      </c>
      <c r="E251" t="str">
        <f>IF(PATIENTS!C251="","",PATIENTS!E251)</f>
        <v/>
      </c>
    </row>
    <row r="252" spans="1:5" x14ac:dyDescent="0.3">
      <c r="A252" t="str">
        <f>IF(PATIENTS!C252="","",PATIENTS!A252)</f>
        <v/>
      </c>
      <c r="B252" t="str">
        <f>IF(PATIENTS!C252="","",PATIENTS!B252)</f>
        <v/>
      </c>
      <c r="C252" t="str">
        <f>IF(PATIENTS!C252="","",PATIENTS!C252)</f>
        <v/>
      </c>
      <c r="D252" t="str">
        <f>IF(PATIENTS!C252="","",PATIENTS!D252)</f>
        <v/>
      </c>
      <c r="E252" t="str">
        <f>IF(PATIENTS!C252="","",PATIENTS!E252)</f>
        <v/>
      </c>
    </row>
    <row r="253" spans="1:5" x14ac:dyDescent="0.3">
      <c r="A253" t="str">
        <f>IF(PATIENTS!C253="","",PATIENTS!A253)</f>
        <v/>
      </c>
      <c r="B253" t="str">
        <f>IF(PATIENTS!C253="","",PATIENTS!B253)</f>
        <v/>
      </c>
      <c r="C253" t="str">
        <f>IF(PATIENTS!C253="","",PATIENTS!C253)</f>
        <v/>
      </c>
      <c r="D253" t="str">
        <f>IF(PATIENTS!C253="","",PATIENTS!D253)</f>
        <v/>
      </c>
      <c r="E253" t="str">
        <f>IF(PATIENTS!C253="","",PATIENTS!E253)</f>
        <v/>
      </c>
    </row>
    <row r="254" spans="1:5" x14ac:dyDescent="0.3">
      <c r="A254" t="str">
        <f>IF(PATIENTS!C254="","",PATIENTS!A254)</f>
        <v/>
      </c>
      <c r="B254" t="str">
        <f>IF(PATIENTS!C254="","",PATIENTS!B254)</f>
        <v/>
      </c>
      <c r="C254" t="str">
        <f>IF(PATIENTS!C254="","",PATIENTS!C254)</f>
        <v/>
      </c>
      <c r="D254" t="str">
        <f>IF(PATIENTS!C254="","",PATIENTS!D254)</f>
        <v/>
      </c>
      <c r="E254" t="str">
        <f>IF(PATIENTS!C254="","",PATIENTS!E254)</f>
        <v/>
      </c>
    </row>
    <row r="255" spans="1:5" x14ac:dyDescent="0.3">
      <c r="A255" t="str">
        <f>IF(PATIENTS!C255="","",PATIENTS!A255)</f>
        <v/>
      </c>
      <c r="B255" t="str">
        <f>IF(PATIENTS!C255="","",PATIENTS!B255)</f>
        <v/>
      </c>
      <c r="C255" t="str">
        <f>IF(PATIENTS!C255="","",PATIENTS!C255)</f>
        <v/>
      </c>
      <c r="D255" t="str">
        <f>IF(PATIENTS!C255="","",PATIENTS!D255)</f>
        <v/>
      </c>
      <c r="E255" t="str">
        <f>IF(PATIENTS!C255="","",PATIENTS!E255)</f>
        <v/>
      </c>
    </row>
    <row r="256" spans="1:5" x14ac:dyDescent="0.3">
      <c r="A256" t="str">
        <f>IF(PATIENTS!C256="","",PATIENTS!A256)</f>
        <v/>
      </c>
      <c r="B256" t="str">
        <f>IF(PATIENTS!C256="","",PATIENTS!B256)</f>
        <v/>
      </c>
      <c r="C256" t="str">
        <f>IF(PATIENTS!C256="","",PATIENTS!C256)</f>
        <v/>
      </c>
      <c r="D256" t="str">
        <f>IF(PATIENTS!C256="","",PATIENTS!D256)</f>
        <v/>
      </c>
      <c r="E256" t="str">
        <f>IF(PATIENTS!C256="","",PATIENTS!E256)</f>
        <v/>
      </c>
    </row>
    <row r="257" spans="1:5" x14ac:dyDescent="0.3">
      <c r="A257" t="str">
        <f>IF(PATIENTS!C257="","",PATIENTS!A257)</f>
        <v/>
      </c>
      <c r="B257" t="str">
        <f>IF(PATIENTS!C257="","",PATIENTS!B257)</f>
        <v/>
      </c>
      <c r="C257" t="str">
        <f>IF(PATIENTS!C257="","",PATIENTS!C257)</f>
        <v/>
      </c>
      <c r="D257" t="str">
        <f>IF(PATIENTS!C257="","",PATIENTS!D257)</f>
        <v/>
      </c>
      <c r="E257" t="str">
        <f>IF(PATIENTS!C257="","",PATIENTS!E257)</f>
        <v/>
      </c>
    </row>
    <row r="258" spans="1:5" x14ac:dyDescent="0.3">
      <c r="A258" t="str">
        <f>IF(PATIENTS!C258="","",PATIENTS!A258)</f>
        <v/>
      </c>
      <c r="B258" t="str">
        <f>IF(PATIENTS!C258="","",PATIENTS!B258)</f>
        <v/>
      </c>
      <c r="C258" t="str">
        <f>IF(PATIENTS!C258="","",PATIENTS!C258)</f>
        <v/>
      </c>
      <c r="D258" t="str">
        <f>IF(PATIENTS!C258="","",PATIENTS!D258)</f>
        <v/>
      </c>
      <c r="E258" t="str">
        <f>IF(PATIENTS!C258="","",PATIENTS!E258)</f>
        <v/>
      </c>
    </row>
    <row r="259" spans="1:5" x14ac:dyDescent="0.3">
      <c r="A259" t="str">
        <f>IF(PATIENTS!C259="","",PATIENTS!A259)</f>
        <v/>
      </c>
      <c r="B259" t="str">
        <f>IF(PATIENTS!C259="","",PATIENTS!B259)</f>
        <v/>
      </c>
      <c r="C259" t="str">
        <f>IF(PATIENTS!C259="","",PATIENTS!C259)</f>
        <v/>
      </c>
      <c r="D259" t="str">
        <f>IF(PATIENTS!C259="","",PATIENTS!D259)</f>
        <v/>
      </c>
      <c r="E259" t="str">
        <f>IF(PATIENTS!C259="","",PATIENTS!E259)</f>
        <v/>
      </c>
    </row>
    <row r="260" spans="1:5" x14ac:dyDescent="0.3">
      <c r="A260" t="str">
        <f>IF(PATIENTS!C260="","",PATIENTS!A260)</f>
        <v/>
      </c>
      <c r="B260" t="str">
        <f>IF(PATIENTS!C260="","",PATIENTS!B260)</f>
        <v/>
      </c>
      <c r="C260" t="str">
        <f>IF(PATIENTS!C260="","",PATIENTS!C260)</f>
        <v/>
      </c>
      <c r="D260" t="str">
        <f>IF(PATIENTS!C260="","",PATIENTS!D260)</f>
        <v/>
      </c>
      <c r="E260" t="str">
        <f>IF(PATIENTS!C260="","",PATIENTS!E260)</f>
        <v/>
      </c>
    </row>
    <row r="261" spans="1:5" x14ac:dyDescent="0.3">
      <c r="A261" t="str">
        <f>IF(PATIENTS!C261="","",PATIENTS!A261)</f>
        <v/>
      </c>
      <c r="B261" t="str">
        <f>IF(PATIENTS!C261="","",PATIENTS!B261)</f>
        <v/>
      </c>
      <c r="C261" t="str">
        <f>IF(PATIENTS!C261="","",PATIENTS!C261)</f>
        <v/>
      </c>
      <c r="D261" t="str">
        <f>IF(PATIENTS!C261="","",PATIENTS!D261)</f>
        <v/>
      </c>
      <c r="E261" t="str">
        <f>IF(PATIENTS!C261="","",PATIENTS!E261)</f>
        <v/>
      </c>
    </row>
    <row r="262" spans="1:5" x14ac:dyDescent="0.3">
      <c r="A262" t="str">
        <f>IF(PATIENTS!C262="","",PATIENTS!A262)</f>
        <v/>
      </c>
      <c r="B262" t="str">
        <f>IF(PATIENTS!C262="","",PATIENTS!B262)</f>
        <v/>
      </c>
      <c r="C262" t="str">
        <f>IF(PATIENTS!C262="","",PATIENTS!C262)</f>
        <v/>
      </c>
      <c r="D262" t="str">
        <f>IF(PATIENTS!C262="","",PATIENTS!D262)</f>
        <v/>
      </c>
      <c r="E262" t="str">
        <f>IF(PATIENTS!C262="","",PATIENTS!E262)</f>
        <v/>
      </c>
    </row>
    <row r="263" spans="1:5" x14ac:dyDescent="0.3">
      <c r="A263" t="str">
        <f>IF(PATIENTS!C263="","",PATIENTS!A263)</f>
        <v/>
      </c>
      <c r="B263" t="str">
        <f>IF(PATIENTS!C263="","",PATIENTS!B263)</f>
        <v/>
      </c>
      <c r="C263" t="str">
        <f>IF(PATIENTS!C263="","",PATIENTS!C263)</f>
        <v/>
      </c>
      <c r="D263" t="str">
        <f>IF(PATIENTS!C263="","",PATIENTS!D263)</f>
        <v/>
      </c>
      <c r="E263" t="str">
        <f>IF(PATIENTS!C263="","",PATIENTS!E263)</f>
        <v/>
      </c>
    </row>
    <row r="264" spans="1:5" x14ac:dyDescent="0.3">
      <c r="A264" t="str">
        <f>IF(PATIENTS!C264="","",PATIENTS!A264)</f>
        <v/>
      </c>
      <c r="B264" t="str">
        <f>IF(PATIENTS!C264="","",PATIENTS!B264)</f>
        <v/>
      </c>
      <c r="C264" t="str">
        <f>IF(PATIENTS!C264="","",PATIENTS!C264)</f>
        <v/>
      </c>
      <c r="D264" t="str">
        <f>IF(PATIENTS!C264="","",PATIENTS!D264)</f>
        <v/>
      </c>
      <c r="E264" t="str">
        <f>IF(PATIENTS!C264="","",PATIENTS!E264)</f>
        <v/>
      </c>
    </row>
    <row r="265" spans="1:5" x14ac:dyDescent="0.3">
      <c r="A265" t="str">
        <f>IF(PATIENTS!C265="","",PATIENTS!A265)</f>
        <v/>
      </c>
      <c r="B265" t="str">
        <f>IF(PATIENTS!C265="","",PATIENTS!B265)</f>
        <v/>
      </c>
      <c r="C265" t="str">
        <f>IF(PATIENTS!C265="","",PATIENTS!C265)</f>
        <v/>
      </c>
      <c r="D265" t="str">
        <f>IF(PATIENTS!C265="","",PATIENTS!D265)</f>
        <v/>
      </c>
      <c r="E265" t="str">
        <f>IF(PATIENTS!C265="","",PATIENTS!E265)</f>
        <v/>
      </c>
    </row>
    <row r="266" spans="1:5" x14ac:dyDescent="0.3">
      <c r="A266" t="str">
        <f>IF(PATIENTS!C266="","",PATIENTS!A266)</f>
        <v/>
      </c>
      <c r="B266" t="str">
        <f>IF(PATIENTS!C266="","",PATIENTS!B266)</f>
        <v/>
      </c>
      <c r="C266" t="str">
        <f>IF(PATIENTS!C266="","",PATIENTS!C266)</f>
        <v/>
      </c>
      <c r="D266" t="str">
        <f>IF(PATIENTS!C266="","",PATIENTS!D266)</f>
        <v/>
      </c>
      <c r="E266" t="str">
        <f>IF(PATIENTS!C266="","",PATIENTS!E266)</f>
        <v/>
      </c>
    </row>
    <row r="267" spans="1:5" x14ac:dyDescent="0.3">
      <c r="A267" t="str">
        <f>IF(PATIENTS!C267="","",PATIENTS!A267)</f>
        <v/>
      </c>
      <c r="B267" t="str">
        <f>IF(PATIENTS!C267="","",PATIENTS!B267)</f>
        <v/>
      </c>
      <c r="C267" t="str">
        <f>IF(PATIENTS!C267="","",PATIENTS!C267)</f>
        <v/>
      </c>
      <c r="D267" t="str">
        <f>IF(PATIENTS!C267="","",PATIENTS!D267)</f>
        <v/>
      </c>
      <c r="E267" t="str">
        <f>IF(PATIENTS!C267="","",PATIENTS!E267)</f>
        <v/>
      </c>
    </row>
    <row r="268" spans="1:5" x14ac:dyDescent="0.3">
      <c r="A268" t="str">
        <f>IF(PATIENTS!C268="","",PATIENTS!A268)</f>
        <v/>
      </c>
      <c r="B268" t="str">
        <f>IF(PATIENTS!C268="","",PATIENTS!B268)</f>
        <v/>
      </c>
      <c r="C268" t="str">
        <f>IF(PATIENTS!C268="","",PATIENTS!C268)</f>
        <v/>
      </c>
      <c r="D268" t="str">
        <f>IF(PATIENTS!C268="","",PATIENTS!D268)</f>
        <v/>
      </c>
      <c r="E268" t="str">
        <f>IF(PATIENTS!C268="","",PATIENTS!E268)</f>
        <v/>
      </c>
    </row>
    <row r="269" spans="1:5" x14ac:dyDescent="0.3">
      <c r="A269" t="str">
        <f>IF(PATIENTS!C269="","",PATIENTS!A269)</f>
        <v/>
      </c>
      <c r="B269" t="str">
        <f>IF(PATIENTS!C269="","",PATIENTS!B269)</f>
        <v/>
      </c>
      <c r="C269" t="str">
        <f>IF(PATIENTS!C269="","",PATIENTS!C269)</f>
        <v/>
      </c>
      <c r="D269" t="str">
        <f>IF(PATIENTS!C269="","",PATIENTS!D269)</f>
        <v/>
      </c>
      <c r="E269" t="str">
        <f>IF(PATIENTS!C269="","",PATIENTS!E269)</f>
        <v/>
      </c>
    </row>
    <row r="270" spans="1:5" x14ac:dyDescent="0.3">
      <c r="A270" t="str">
        <f>IF(PATIENTS!C270="","",PATIENTS!A270)</f>
        <v/>
      </c>
      <c r="B270" t="str">
        <f>IF(PATIENTS!C270="","",PATIENTS!B270)</f>
        <v/>
      </c>
      <c r="C270" t="str">
        <f>IF(PATIENTS!C270="","",PATIENTS!C270)</f>
        <v/>
      </c>
      <c r="D270" t="str">
        <f>IF(PATIENTS!C270="","",PATIENTS!D270)</f>
        <v/>
      </c>
      <c r="E270" t="str">
        <f>IF(PATIENTS!C270="","",PATIENTS!E270)</f>
        <v/>
      </c>
    </row>
    <row r="271" spans="1:5" x14ac:dyDescent="0.3">
      <c r="A271" t="str">
        <f>IF(PATIENTS!C271="","",PATIENTS!A271)</f>
        <v/>
      </c>
      <c r="B271" t="str">
        <f>IF(PATIENTS!C271="","",PATIENTS!B271)</f>
        <v/>
      </c>
      <c r="C271" t="str">
        <f>IF(PATIENTS!C271="","",PATIENTS!C271)</f>
        <v/>
      </c>
      <c r="D271" t="str">
        <f>IF(PATIENTS!C271="","",PATIENTS!D271)</f>
        <v/>
      </c>
      <c r="E271" t="str">
        <f>IF(PATIENTS!C271="","",PATIENTS!E271)</f>
        <v/>
      </c>
    </row>
    <row r="272" spans="1:5" x14ac:dyDescent="0.3">
      <c r="A272" t="str">
        <f>IF(PATIENTS!C272="","",PATIENTS!A272)</f>
        <v/>
      </c>
      <c r="B272" t="str">
        <f>IF(PATIENTS!C272="","",PATIENTS!B272)</f>
        <v/>
      </c>
      <c r="C272" t="str">
        <f>IF(PATIENTS!C272="","",PATIENTS!C272)</f>
        <v/>
      </c>
      <c r="D272" t="str">
        <f>IF(PATIENTS!C272="","",PATIENTS!D272)</f>
        <v/>
      </c>
      <c r="E272" t="str">
        <f>IF(PATIENTS!C272="","",PATIENTS!E272)</f>
        <v/>
      </c>
    </row>
    <row r="273" spans="1:5" x14ac:dyDescent="0.3">
      <c r="A273" t="str">
        <f>IF(PATIENTS!C273="","",PATIENTS!A273)</f>
        <v/>
      </c>
      <c r="B273" t="str">
        <f>IF(PATIENTS!C273="","",PATIENTS!B273)</f>
        <v/>
      </c>
      <c r="C273" t="str">
        <f>IF(PATIENTS!C273="","",PATIENTS!C273)</f>
        <v/>
      </c>
      <c r="D273" t="str">
        <f>IF(PATIENTS!C273="","",PATIENTS!D273)</f>
        <v/>
      </c>
      <c r="E273" t="str">
        <f>IF(PATIENTS!C273="","",PATIENTS!E273)</f>
        <v/>
      </c>
    </row>
    <row r="274" spans="1:5" x14ac:dyDescent="0.3">
      <c r="A274" t="str">
        <f>IF(PATIENTS!C274="","",PATIENTS!A274)</f>
        <v/>
      </c>
      <c r="B274" t="str">
        <f>IF(PATIENTS!C274="","",PATIENTS!B274)</f>
        <v/>
      </c>
      <c r="C274" t="str">
        <f>IF(PATIENTS!C274="","",PATIENTS!C274)</f>
        <v/>
      </c>
      <c r="D274" t="str">
        <f>IF(PATIENTS!C274="","",PATIENTS!D274)</f>
        <v/>
      </c>
      <c r="E274" t="str">
        <f>IF(PATIENTS!C274="","",PATIENTS!E274)</f>
        <v/>
      </c>
    </row>
    <row r="275" spans="1:5" x14ac:dyDescent="0.3">
      <c r="A275" t="str">
        <f>IF(PATIENTS!C275="","",PATIENTS!A275)</f>
        <v/>
      </c>
      <c r="B275" t="str">
        <f>IF(PATIENTS!C275="","",PATIENTS!B275)</f>
        <v/>
      </c>
      <c r="C275" t="str">
        <f>IF(PATIENTS!C275="","",PATIENTS!C275)</f>
        <v/>
      </c>
      <c r="D275" t="str">
        <f>IF(PATIENTS!C275="","",PATIENTS!D275)</f>
        <v/>
      </c>
      <c r="E275" t="str">
        <f>IF(PATIENTS!C275="","",PATIENTS!E275)</f>
        <v/>
      </c>
    </row>
    <row r="276" spans="1:5" x14ac:dyDescent="0.3">
      <c r="A276" t="str">
        <f>IF(PATIENTS!C276="","",PATIENTS!A276)</f>
        <v/>
      </c>
      <c r="B276" t="str">
        <f>IF(PATIENTS!C276="","",PATIENTS!B276)</f>
        <v/>
      </c>
      <c r="C276" t="str">
        <f>IF(PATIENTS!C276="","",PATIENTS!C276)</f>
        <v/>
      </c>
      <c r="D276" t="str">
        <f>IF(PATIENTS!C276="","",PATIENTS!D276)</f>
        <v/>
      </c>
      <c r="E276" t="str">
        <f>IF(PATIENTS!C276="","",PATIENTS!E276)</f>
        <v/>
      </c>
    </row>
    <row r="277" spans="1:5" x14ac:dyDescent="0.3">
      <c r="A277" t="str">
        <f>IF(PATIENTS!C277="","",PATIENTS!A277)</f>
        <v/>
      </c>
      <c r="B277" t="str">
        <f>IF(PATIENTS!C277="","",PATIENTS!B277)</f>
        <v/>
      </c>
      <c r="C277" t="str">
        <f>IF(PATIENTS!C277="","",PATIENTS!C277)</f>
        <v/>
      </c>
      <c r="D277" t="str">
        <f>IF(PATIENTS!C277="","",PATIENTS!D277)</f>
        <v/>
      </c>
      <c r="E277" t="str">
        <f>IF(PATIENTS!C277="","",PATIENTS!E277)</f>
        <v/>
      </c>
    </row>
    <row r="278" spans="1:5" x14ac:dyDescent="0.3">
      <c r="A278" t="str">
        <f>IF(PATIENTS!C278="","",PATIENTS!A278)</f>
        <v/>
      </c>
      <c r="B278" t="str">
        <f>IF(PATIENTS!C278="","",PATIENTS!B278)</f>
        <v/>
      </c>
      <c r="C278" t="str">
        <f>IF(PATIENTS!C278="","",PATIENTS!C278)</f>
        <v/>
      </c>
      <c r="D278" t="str">
        <f>IF(PATIENTS!C278="","",PATIENTS!D278)</f>
        <v/>
      </c>
      <c r="E278" t="str">
        <f>IF(PATIENTS!C278="","",PATIENTS!E278)</f>
        <v/>
      </c>
    </row>
    <row r="279" spans="1:5" x14ac:dyDescent="0.3">
      <c r="A279" t="str">
        <f>IF(PATIENTS!C279="","",PATIENTS!A279)</f>
        <v/>
      </c>
      <c r="B279" t="str">
        <f>IF(PATIENTS!C279="","",PATIENTS!B279)</f>
        <v/>
      </c>
      <c r="C279" t="str">
        <f>IF(PATIENTS!C279="","",PATIENTS!C279)</f>
        <v/>
      </c>
      <c r="D279" t="str">
        <f>IF(PATIENTS!C279="","",PATIENTS!D279)</f>
        <v/>
      </c>
      <c r="E279" t="str">
        <f>IF(PATIENTS!C279="","",PATIENTS!E279)</f>
        <v/>
      </c>
    </row>
    <row r="280" spans="1:5" x14ac:dyDescent="0.3">
      <c r="A280" t="str">
        <f>IF(PATIENTS!C280="","",PATIENTS!A280)</f>
        <v/>
      </c>
      <c r="B280" t="str">
        <f>IF(PATIENTS!C280="","",PATIENTS!B280)</f>
        <v/>
      </c>
      <c r="C280" t="str">
        <f>IF(PATIENTS!C280="","",PATIENTS!C280)</f>
        <v/>
      </c>
      <c r="D280" t="str">
        <f>IF(PATIENTS!C280="","",PATIENTS!D280)</f>
        <v/>
      </c>
      <c r="E280" t="str">
        <f>IF(PATIENTS!C280="","",PATIENTS!E280)</f>
        <v/>
      </c>
    </row>
    <row r="281" spans="1:5" x14ac:dyDescent="0.3">
      <c r="A281" t="str">
        <f>IF(PATIENTS!C281="","",PATIENTS!A281)</f>
        <v/>
      </c>
      <c r="B281" t="str">
        <f>IF(PATIENTS!C281="","",PATIENTS!B281)</f>
        <v/>
      </c>
      <c r="C281" t="str">
        <f>IF(PATIENTS!C281="","",PATIENTS!C281)</f>
        <v/>
      </c>
      <c r="D281" t="str">
        <f>IF(PATIENTS!C281="","",PATIENTS!D281)</f>
        <v/>
      </c>
      <c r="E281" t="str">
        <f>IF(PATIENTS!C281="","",PATIENTS!E281)</f>
        <v/>
      </c>
    </row>
    <row r="282" spans="1:5" x14ac:dyDescent="0.3">
      <c r="A282" t="str">
        <f>IF(PATIENTS!C282="","",PATIENTS!A282)</f>
        <v/>
      </c>
      <c r="B282" t="str">
        <f>IF(PATIENTS!C282="","",PATIENTS!B282)</f>
        <v/>
      </c>
      <c r="C282" t="str">
        <f>IF(PATIENTS!C282="","",PATIENTS!C282)</f>
        <v/>
      </c>
      <c r="D282" t="str">
        <f>IF(PATIENTS!C282="","",PATIENTS!D282)</f>
        <v/>
      </c>
      <c r="E282" t="str">
        <f>IF(PATIENTS!C282="","",PATIENTS!E282)</f>
        <v/>
      </c>
    </row>
    <row r="283" spans="1:5" x14ac:dyDescent="0.3">
      <c r="A283" t="str">
        <f>IF(PATIENTS!C283="","",PATIENTS!A283)</f>
        <v/>
      </c>
      <c r="B283" t="str">
        <f>IF(PATIENTS!C283="","",PATIENTS!B283)</f>
        <v/>
      </c>
      <c r="C283" t="str">
        <f>IF(PATIENTS!C283="","",PATIENTS!C283)</f>
        <v/>
      </c>
      <c r="D283" t="str">
        <f>IF(PATIENTS!C283="","",PATIENTS!D283)</f>
        <v/>
      </c>
      <c r="E283" t="str">
        <f>IF(PATIENTS!C283="","",PATIENTS!E283)</f>
        <v/>
      </c>
    </row>
    <row r="284" spans="1:5" x14ac:dyDescent="0.3">
      <c r="A284" t="str">
        <f>IF(PATIENTS!C284="","",PATIENTS!A284)</f>
        <v/>
      </c>
      <c r="B284" t="str">
        <f>IF(PATIENTS!C284="","",PATIENTS!B284)</f>
        <v/>
      </c>
      <c r="C284" t="str">
        <f>IF(PATIENTS!C284="","",PATIENTS!C284)</f>
        <v/>
      </c>
      <c r="D284" t="str">
        <f>IF(PATIENTS!C284="","",PATIENTS!D284)</f>
        <v/>
      </c>
      <c r="E284" t="str">
        <f>IF(PATIENTS!C284="","",PATIENTS!E284)</f>
        <v/>
      </c>
    </row>
    <row r="285" spans="1:5" x14ac:dyDescent="0.3">
      <c r="A285" t="str">
        <f>IF(PATIENTS!C285="","",PATIENTS!A285)</f>
        <v/>
      </c>
      <c r="B285" t="str">
        <f>IF(PATIENTS!C285="","",PATIENTS!B285)</f>
        <v/>
      </c>
      <c r="C285" t="str">
        <f>IF(PATIENTS!C285="","",PATIENTS!C285)</f>
        <v/>
      </c>
      <c r="D285" t="str">
        <f>IF(PATIENTS!C285="","",PATIENTS!D285)</f>
        <v/>
      </c>
      <c r="E285" t="str">
        <f>IF(PATIENTS!C285="","",PATIENTS!E285)</f>
        <v/>
      </c>
    </row>
    <row r="286" spans="1:5" x14ac:dyDescent="0.3">
      <c r="A286" t="str">
        <f>IF(PATIENTS!C286="","",PATIENTS!A286)</f>
        <v/>
      </c>
      <c r="B286" t="str">
        <f>IF(PATIENTS!C286="","",PATIENTS!B286)</f>
        <v/>
      </c>
      <c r="C286" t="str">
        <f>IF(PATIENTS!C286="","",PATIENTS!C286)</f>
        <v/>
      </c>
      <c r="D286" t="str">
        <f>IF(PATIENTS!C286="","",PATIENTS!D286)</f>
        <v/>
      </c>
      <c r="E286" t="str">
        <f>IF(PATIENTS!C286="","",PATIENTS!E286)</f>
        <v/>
      </c>
    </row>
    <row r="287" spans="1:5" x14ac:dyDescent="0.3">
      <c r="A287" t="str">
        <f>IF(PATIENTS!C287="","",PATIENTS!A287)</f>
        <v/>
      </c>
      <c r="B287" t="str">
        <f>IF(PATIENTS!C287="","",PATIENTS!B287)</f>
        <v/>
      </c>
      <c r="C287" t="str">
        <f>IF(PATIENTS!C287="","",PATIENTS!C287)</f>
        <v/>
      </c>
      <c r="D287" t="str">
        <f>IF(PATIENTS!C287="","",PATIENTS!D287)</f>
        <v/>
      </c>
      <c r="E287" t="str">
        <f>IF(PATIENTS!C287="","",PATIENTS!E287)</f>
        <v/>
      </c>
    </row>
    <row r="288" spans="1:5" x14ac:dyDescent="0.3">
      <c r="A288" t="str">
        <f>IF(PATIENTS!C288="","",PATIENTS!A288)</f>
        <v/>
      </c>
      <c r="B288" t="str">
        <f>IF(PATIENTS!C288="","",PATIENTS!B288)</f>
        <v/>
      </c>
      <c r="C288" t="str">
        <f>IF(PATIENTS!C288="","",PATIENTS!C288)</f>
        <v/>
      </c>
      <c r="D288" t="str">
        <f>IF(PATIENTS!C288="","",PATIENTS!D288)</f>
        <v/>
      </c>
      <c r="E288" t="str">
        <f>IF(PATIENTS!C288="","",PATIENTS!E288)</f>
        <v/>
      </c>
    </row>
    <row r="289" spans="1:5" x14ac:dyDescent="0.3">
      <c r="A289" t="str">
        <f>IF(PATIENTS!C289="","",PATIENTS!A289)</f>
        <v/>
      </c>
      <c r="B289" t="str">
        <f>IF(PATIENTS!C289="","",PATIENTS!B289)</f>
        <v/>
      </c>
      <c r="C289" t="str">
        <f>IF(PATIENTS!C289="","",PATIENTS!C289)</f>
        <v/>
      </c>
      <c r="D289" t="str">
        <f>IF(PATIENTS!C289="","",PATIENTS!D289)</f>
        <v/>
      </c>
      <c r="E289" t="str">
        <f>IF(PATIENTS!C289="","",PATIENTS!E289)</f>
        <v/>
      </c>
    </row>
    <row r="290" spans="1:5" x14ac:dyDescent="0.3">
      <c r="A290" t="str">
        <f>IF(PATIENTS!C290="","",PATIENTS!A290)</f>
        <v/>
      </c>
      <c r="B290" t="str">
        <f>IF(PATIENTS!C290="","",PATIENTS!B290)</f>
        <v/>
      </c>
      <c r="C290" t="str">
        <f>IF(PATIENTS!C290="","",PATIENTS!C290)</f>
        <v/>
      </c>
      <c r="D290" t="str">
        <f>IF(PATIENTS!C290="","",PATIENTS!D290)</f>
        <v/>
      </c>
      <c r="E290" t="str">
        <f>IF(PATIENTS!C290="","",PATIENTS!E290)</f>
        <v/>
      </c>
    </row>
    <row r="291" spans="1:5" x14ac:dyDescent="0.3">
      <c r="A291" t="str">
        <f>IF(PATIENTS!C291="","",PATIENTS!A291)</f>
        <v/>
      </c>
      <c r="B291" t="str">
        <f>IF(PATIENTS!C291="","",PATIENTS!B291)</f>
        <v/>
      </c>
      <c r="C291" t="str">
        <f>IF(PATIENTS!C291="","",PATIENTS!C291)</f>
        <v/>
      </c>
      <c r="D291" t="str">
        <f>IF(PATIENTS!C291="","",PATIENTS!D291)</f>
        <v/>
      </c>
      <c r="E291" t="str">
        <f>IF(PATIENTS!C291="","",PATIENTS!E291)</f>
        <v/>
      </c>
    </row>
    <row r="292" spans="1:5" x14ac:dyDescent="0.3">
      <c r="A292" t="str">
        <f>IF(PATIENTS!C292="","",PATIENTS!A292)</f>
        <v/>
      </c>
      <c r="B292" t="str">
        <f>IF(PATIENTS!C292="","",PATIENTS!B292)</f>
        <v/>
      </c>
      <c r="C292" t="str">
        <f>IF(PATIENTS!C292="","",PATIENTS!C292)</f>
        <v/>
      </c>
      <c r="D292" t="str">
        <f>IF(PATIENTS!C292="","",PATIENTS!D292)</f>
        <v/>
      </c>
      <c r="E292" t="str">
        <f>IF(PATIENTS!C292="","",PATIENTS!E292)</f>
        <v/>
      </c>
    </row>
    <row r="293" spans="1:5" x14ac:dyDescent="0.3">
      <c r="A293" t="str">
        <f>IF(PATIENTS!C293="","",PATIENTS!A293)</f>
        <v/>
      </c>
      <c r="B293" t="str">
        <f>IF(PATIENTS!C293="","",PATIENTS!B293)</f>
        <v/>
      </c>
      <c r="C293" t="str">
        <f>IF(PATIENTS!C293="","",PATIENTS!C293)</f>
        <v/>
      </c>
      <c r="D293" t="str">
        <f>IF(PATIENTS!C293="","",PATIENTS!D293)</f>
        <v/>
      </c>
      <c r="E293" t="str">
        <f>IF(PATIENTS!C293="","",PATIENTS!E293)</f>
        <v/>
      </c>
    </row>
    <row r="294" spans="1:5" x14ac:dyDescent="0.3">
      <c r="A294" t="str">
        <f>IF(PATIENTS!C294="","",PATIENTS!A294)</f>
        <v/>
      </c>
      <c r="B294" t="str">
        <f>IF(PATIENTS!C294="","",PATIENTS!B294)</f>
        <v/>
      </c>
      <c r="C294" t="str">
        <f>IF(PATIENTS!C294="","",PATIENTS!C294)</f>
        <v/>
      </c>
      <c r="D294" t="str">
        <f>IF(PATIENTS!C294="","",PATIENTS!D294)</f>
        <v/>
      </c>
      <c r="E294" t="str">
        <f>IF(PATIENTS!C294="","",PATIENTS!E294)</f>
        <v/>
      </c>
    </row>
    <row r="295" spans="1:5" x14ac:dyDescent="0.3">
      <c r="A295" t="str">
        <f>IF(PATIENTS!C295="","",PATIENTS!A295)</f>
        <v/>
      </c>
      <c r="B295" t="str">
        <f>IF(PATIENTS!C295="","",PATIENTS!B295)</f>
        <v/>
      </c>
      <c r="C295" t="str">
        <f>IF(PATIENTS!C295="","",PATIENTS!C295)</f>
        <v/>
      </c>
      <c r="D295" t="str">
        <f>IF(PATIENTS!C295="","",PATIENTS!D295)</f>
        <v/>
      </c>
      <c r="E295" t="str">
        <f>IF(PATIENTS!C295="","",PATIENTS!E295)</f>
        <v/>
      </c>
    </row>
    <row r="296" spans="1:5" x14ac:dyDescent="0.3">
      <c r="A296" t="str">
        <f>IF(PATIENTS!C296="","",PATIENTS!A296)</f>
        <v/>
      </c>
      <c r="B296" t="str">
        <f>IF(PATIENTS!C296="","",PATIENTS!B296)</f>
        <v/>
      </c>
      <c r="C296" t="str">
        <f>IF(PATIENTS!C296="","",PATIENTS!C296)</f>
        <v/>
      </c>
      <c r="D296" t="str">
        <f>IF(PATIENTS!C296="","",PATIENTS!D296)</f>
        <v/>
      </c>
      <c r="E296" t="str">
        <f>IF(PATIENTS!C296="","",PATIENTS!E296)</f>
        <v/>
      </c>
    </row>
    <row r="297" spans="1:5" x14ac:dyDescent="0.3">
      <c r="A297" t="str">
        <f>IF(PATIENTS!C297="","",PATIENTS!A297)</f>
        <v/>
      </c>
      <c r="B297" t="str">
        <f>IF(PATIENTS!C297="","",PATIENTS!B297)</f>
        <v/>
      </c>
      <c r="C297" t="str">
        <f>IF(PATIENTS!C297="","",PATIENTS!C297)</f>
        <v/>
      </c>
      <c r="D297" t="str">
        <f>IF(PATIENTS!C297="","",PATIENTS!D297)</f>
        <v/>
      </c>
      <c r="E297" t="str">
        <f>IF(PATIENTS!C297="","",PATIENTS!E297)</f>
        <v/>
      </c>
    </row>
    <row r="298" spans="1:5" x14ac:dyDescent="0.3">
      <c r="A298" t="str">
        <f>IF(PATIENTS!C298="","",PATIENTS!A298)</f>
        <v/>
      </c>
      <c r="B298" t="str">
        <f>IF(PATIENTS!C298="","",PATIENTS!B298)</f>
        <v/>
      </c>
      <c r="C298" t="str">
        <f>IF(PATIENTS!C298="","",PATIENTS!C298)</f>
        <v/>
      </c>
      <c r="D298" t="str">
        <f>IF(PATIENTS!C298="","",PATIENTS!D298)</f>
        <v/>
      </c>
      <c r="E298" t="str">
        <f>IF(PATIENTS!C298="","",PATIENTS!E298)</f>
        <v/>
      </c>
    </row>
    <row r="299" spans="1:5" x14ac:dyDescent="0.3">
      <c r="A299" t="str">
        <f>IF(PATIENTS!C299="","",PATIENTS!A299)</f>
        <v/>
      </c>
      <c r="B299" t="str">
        <f>IF(PATIENTS!C299="","",PATIENTS!B299)</f>
        <v/>
      </c>
      <c r="C299" t="str">
        <f>IF(PATIENTS!C299="","",PATIENTS!C299)</f>
        <v/>
      </c>
      <c r="D299" t="str">
        <f>IF(PATIENTS!C299="","",PATIENTS!D299)</f>
        <v/>
      </c>
      <c r="E299" t="str">
        <f>IF(PATIENTS!C299="","",PATIENTS!E299)</f>
        <v/>
      </c>
    </row>
    <row r="300" spans="1:5" x14ac:dyDescent="0.3">
      <c r="A300" t="str">
        <f>IF(PATIENTS!C300="","",PATIENTS!A300)</f>
        <v/>
      </c>
      <c r="B300" t="str">
        <f>IF(PATIENTS!C300="","",PATIENTS!B300)</f>
        <v/>
      </c>
      <c r="C300" t="str">
        <f>IF(PATIENTS!C300="","",PATIENTS!C300)</f>
        <v/>
      </c>
      <c r="D300" t="str">
        <f>IF(PATIENTS!C300="","",PATIENTS!D300)</f>
        <v/>
      </c>
      <c r="E300" t="str">
        <f>IF(PATIENTS!C300="","",PATIENTS!E300)</f>
        <v/>
      </c>
    </row>
    <row r="301" spans="1:5" x14ac:dyDescent="0.3">
      <c r="A301" t="str">
        <f>IF(PATIENTS!C301="","",PATIENTS!A301)</f>
        <v/>
      </c>
      <c r="B301" t="str">
        <f>IF(PATIENTS!C301="","",PATIENTS!B301)</f>
        <v/>
      </c>
      <c r="C301" t="str">
        <f>IF(PATIENTS!C301="","",PATIENTS!C301)</f>
        <v/>
      </c>
      <c r="D301" t="str">
        <f>IF(PATIENTS!C301="","",PATIENTS!D301)</f>
        <v/>
      </c>
      <c r="E301" t="str">
        <f>IF(PATIENTS!C301="","",PATIENTS!E301)</f>
        <v/>
      </c>
    </row>
    <row r="302" spans="1:5" x14ac:dyDescent="0.3">
      <c r="A302" t="str">
        <f>IF(PATIENTS!C302="","",PATIENTS!A302)</f>
        <v/>
      </c>
      <c r="B302" t="str">
        <f>IF(PATIENTS!C302="","",PATIENTS!B302)</f>
        <v/>
      </c>
      <c r="C302" t="str">
        <f>IF(PATIENTS!C302="","",PATIENTS!C302)</f>
        <v/>
      </c>
      <c r="D302" t="str">
        <f>IF(PATIENTS!C302="","",PATIENTS!D302)</f>
        <v/>
      </c>
      <c r="E302" t="str">
        <f>IF(PATIENTS!C302="","",PATIENTS!E302)</f>
        <v/>
      </c>
    </row>
    <row r="303" spans="1:5" x14ac:dyDescent="0.3">
      <c r="A303" t="str">
        <f>IF(PATIENTS!C303="","",PATIENTS!A303)</f>
        <v/>
      </c>
      <c r="B303" t="str">
        <f>IF(PATIENTS!C303="","",PATIENTS!B303)</f>
        <v/>
      </c>
      <c r="C303" t="str">
        <f>IF(PATIENTS!C303="","",PATIENTS!C303)</f>
        <v/>
      </c>
      <c r="D303" t="str">
        <f>IF(PATIENTS!C303="","",PATIENTS!D303)</f>
        <v/>
      </c>
      <c r="E303" t="str">
        <f>IF(PATIENTS!C303="","",PATIENTS!E303)</f>
        <v/>
      </c>
    </row>
    <row r="304" spans="1:5" x14ac:dyDescent="0.3">
      <c r="A304" t="str">
        <f>IF(PATIENTS!C304="","",PATIENTS!A304)</f>
        <v/>
      </c>
      <c r="B304" t="str">
        <f>IF(PATIENTS!C304="","",PATIENTS!B304)</f>
        <v/>
      </c>
      <c r="C304" t="str">
        <f>IF(PATIENTS!C304="","",PATIENTS!C304)</f>
        <v/>
      </c>
      <c r="D304" t="str">
        <f>IF(PATIENTS!C304="","",PATIENTS!D304)</f>
        <v/>
      </c>
      <c r="E304" t="str">
        <f>IF(PATIENTS!C304="","",PATIENTS!E304)</f>
        <v/>
      </c>
    </row>
    <row r="305" spans="1:5" x14ac:dyDescent="0.3">
      <c r="A305" t="str">
        <f>IF(PATIENTS!C305="","",PATIENTS!A305)</f>
        <v/>
      </c>
      <c r="B305" t="str">
        <f>IF(PATIENTS!C305="","",PATIENTS!B305)</f>
        <v/>
      </c>
      <c r="C305" t="str">
        <f>IF(PATIENTS!C305="","",PATIENTS!C305)</f>
        <v/>
      </c>
      <c r="D305" t="str">
        <f>IF(PATIENTS!C305="","",PATIENTS!D305)</f>
        <v/>
      </c>
      <c r="E305" t="str">
        <f>IF(PATIENTS!C305="","",PATIENTS!E305)</f>
        <v/>
      </c>
    </row>
    <row r="306" spans="1:5" x14ac:dyDescent="0.3">
      <c r="A306" t="str">
        <f>IF(PATIENTS!C306="","",PATIENTS!A306)</f>
        <v/>
      </c>
      <c r="B306" t="str">
        <f>IF(PATIENTS!C306="","",PATIENTS!B306)</f>
        <v/>
      </c>
      <c r="C306" t="str">
        <f>IF(PATIENTS!C306="","",PATIENTS!C306)</f>
        <v/>
      </c>
      <c r="D306" t="str">
        <f>IF(PATIENTS!C306="","",PATIENTS!D306)</f>
        <v/>
      </c>
      <c r="E306" t="str">
        <f>IF(PATIENTS!C306="","",PATIENTS!E306)</f>
        <v/>
      </c>
    </row>
    <row r="307" spans="1:5" x14ac:dyDescent="0.3">
      <c r="A307" t="str">
        <f>IF(PATIENTS!C307="","",PATIENTS!A307)</f>
        <v/>
      </c>
      <c r="B307" t="str">
        <f>IF(PATIENTS!C307="","",PATIENTS!B307)</f>
        <v/>
      </c>
      <c r="C307" t="str">
        <f>IF(PATIENTS!C307="","",PATIENTS!C307)</f>
        <v/>
      </c>
      <c r="D307" t="str">
        <f>IF(PATIENTS!C307="","",PATIENTS!D307)</f>
        <v/>
      </c>
      <c r="E307" t="str">
        <f>IF(PATIENTS!C307="","",PATIENTS!E307)</f>
        <v/>
      </c>
    </row>
    <row r="308" spans="1:5" x14ac:dyDescent="0.3">
      <c r="A308" t="str">
        <f>IF(PATIENTS!C308="","",PATIENTS!A308)</f>
        <v/>
      </c>
      <c r="B308" t="str">
        <f>IF(PATIENTS!C308="","",PATIENTS!B308)</f>
        <v/>
      </c>
      <c r="C308" t="str">
        <f>IF(PATIENTS!C308="","",PATIENTS!C308)</f>
        <v/>
      </c>
      <c r="D308" t="str">
        <f>IF(PATIENTS!C308="","",PATIENTS!D308)</f>
        <v/>
      </c>
      <c r="E308" t="str">
        <f>IF(PATIENTS!C308="","",PATIENTS!E308)</f>
        <v/>
      </c>
    </row>
    <row r="309" spans="1:5" x14ac:dyDescent="0.3">
      <c r="A309" t="str">
        <f>IF(PATIENTS!C309="","",PATIENTS!A309)</f>
        <v/>
      </c>
      <c r="B309" t="str">
        <f>IF(PATIENTS!C309="","",PATIENTS!B309)</f>
        <v/>
      </c>
      <c r="C309" t="str">
        <f>IF(PATIENTS!C309="","",PATIENTS!C309)</f>
        <v/>
      </c>
      <c r="D309" t="str">
        <f>IF(PATIENTS!C309="","",PATIENTS!D309)</f>
        <v/>
      </c>
      <c r="E309" t="str">
        <f>IF(PATIENTS!C309="","",PATIENTS!E309)</f>
        <v/>
      </c>
    </row>
    <row r="310" spans="1:5" x14ac:dyDescent="0.3">
      <c r="A310" t="str">
        <f>IF(PATIENTS!C310="","",PATIENTS!A310)</f>
        <v/>
      </c>
      <c r="B310" t="str">
        <f>IF(PATIENTS!C310="","",PATIENTS!B310)</f>
        <v/>
      </c>
      <c r="C310" t="str">
        <f>IF(PATIENTS!C310="","",PATIENTS!C310)</f>
        <v/>
      </c>
      <c r="D310" t="str">
        <f>IF(PATIENTS!C310="","",PATIENTS!D310)</f>
        <v/>
      </c>
      <c r="E310" t="str">
        <f>IF(PATIENTS!C310="","",PATIENTS!E310)</f>
        <v/>
      </c>
    </row>
    <row r="311" spans="1:5" x14ac:dyDescent="0.3">
      <c r="A311" t="str">
        <f>IF(PATIENTS!C311="","",PATIENTS!A311)</f>
        <v/>
      </c>
      <c r="B311" t="str">
        <f>IF(PATIENTS!C311="","",PATIENTS!B311)</f>
        <v/>
      </c>
      <c r="C311" t="str">
        <f>IF(PATIENTS!C311="","",PATIENTS!C311)</f>
        <v/>
      </c>
      <c r="D311" t="str">
        <f>IF(PATIENTS!C311="","",PATIENTS!D311)</f>
        <v/>
      </c>
      <c r="E311" t="str">
        <f>IF(PATIENTS!C311="","",PATIENTS!E311)</f>
        <v/>
      </c>
    </row>
    <row r="312" spans="1:5" x14ac:dyDescent="0.3">
      <c r="A312" t="str">
        <f>IF(PATIENTS!C312="","",PATIENTS!A312)</f>
        <v/>
      </c>
      <c r="B312" t="str">
        <f>IF(PATIENTS!C312="","",PATIENTS!B312)</f>
        <v/>
      </c>
      <c r="C312" t="str">
        <f>IF(PATIENTS!C312="","",PATIENTS!C312)</f>
        <v/>
      </c>
      <c r="D312" t="str">
        <f>IF(PATIENTS!C312="","",PATIENTS!D312)</f>
        <v/>
      </c>
      <c r="E312" t="str">
        <f>IF(PATIENTS!C312="","",PATIENTS!E312)</f>
        <v/>
      </c>
    </row>
    <row r="313" spans="1:5" x14ac:dyDescent="0.3">
      <c r="A313" t="str">
        <f>IF(PATIENTS!C313="","",PATIENTS!A313)</f>
        <v/>
      </c>
      <c r="B313" t="str">
        <f>IF(PATIENTS!C313="","",PATIENTS!B313)</f>
        <v/>
      </c>
      <c r="C313" t="str">
        <f>IF(PATIENTS!C313="","",PATIENTS!C313)</f>
        <v/>
      </c>
      <c r="D313" t="str">
        <f>IF(PATIENTS!C313="","",PATIENTS!D313)</f>
        <v/>
      </c>
      <c r="E313" t="str">
        <f>IF(PATIENTS!C313="","",PATIENTS!E313)</f>
        <v/>
      </c>
    </row>
    <row r="314" spans="1:5" x14ac:dyDescent="0.3">
      <c r="A314" t="str">
        <f>IF(PATIENTS!C314="","",PATIENTS!A314)</f>
        <v/>
      </c>
      <c r="B314" t="str">
        <f>IF(PATIENTS!C314="","",PATIENTS!B314)</f>
        <v/>
      </c>
      <c r="C314" t="str">
        <f>IF(PATIENTS!C314="","",PATIENTS!C314)</f>
        <v/>
      </c>
      <c r="D314" t="str">
        <f>IF(PATIENTS!C314="","",PATIENTS!D314)</f>
        <v/>
      </c>
      <c r="E314" t="str">
        <f>IF(PATIENTS!C314="","",PATIENTS!E314)</f>
        <v/>
      </c>
    </row>
    <row r="315" spans="1:5" x14ac:dyDescent="0.3">
      <c r="A315" t="str">
        <f>IF(PATIENTS!C315="","",PATIENTS!A315)</f>
        <v/>
      </c>
      <c r="B315" t="str">
        <f>IF(PATIENTS!C315="","",PATIENTS!B315)</f>
        <v/>
      </c>
      <c r="C315" t="str">
        <f>IF(PATIENTS!C315="","",PATIENTS!C315)</f>
        <v/>
      </c>
      <c r="D315" t="str">
        <f>IF(PATIENTS!C315="","",PATIENTS!D315)</f>
        <v/>
      </c>
      <c r="E315" t="str">
        <f>IF(PATIENTS!C315="","",PATIENTS!E315)</f>
        <v/>
      </c>
    </row>
    <row r="316" spans="1:5" x14ac:dyDescent="0.3">
      <c r="A316" t="str">
        <f>IF(PATIENTS!C316="","",PATIENTS!A316)</f>
        <v/>
      </c>
      <c r="B316" t="str">
        <f>IF(PATIENTS!C316="","",PATIENTS!B316)</f>
        <v/>
      </c>
      <c r="C316" t="str">
        <f>IF(PATIENTS!C316="","",PATIENTS!C316)</f>
        <v/>
      </c>
      <c r="D316" t="str">
        <f>IF(PATIENTS!C316="","",PATIENTS!D316)</f>
        <v/>
      </c>
      <c r="E316" t="str">
        <f>IF(PATIENTS!C316="","",PATIENTS!E316)</f>
        <v/>
      </c>
    </row>
    <row r="317" spans="1:5" x14ac:dyDescent="0.3">
      <c r="A317" t="str">
        <f>IF(PATIENTS!C317="","",PATIENTS!A317)</f>
        <v/>
      </c>
      <c r="B317" t="str">
        <f>IF(PATIENTS!C317="","",PATIENTS!B317)</f>
        <v/>
      </c>
      <c r="C317" t="str">
        <f>IF(PATIENTS!C317="","",PATIENTS!C317)</f>
        <v/>
      </c>
      <c r="D317" t="str">
        <f>IF(PATIENTS!C317="","",PATIENTS!D317)</f>
        <v/>
      </c>
      <c r="E317" t="str">
        <f>IF(PATIENTS!C317="","",PATIENTS!E317)</f>
        <v/>
      </c>
    </row>
    <row r="318" spans="1:5" x14ac:dyDescent="0.3">
      <c r="A318" t="str">
        <f>IF(PATIENTS!C318="","",PATIENTS!A318)</f>
        <v/>
      </c>
      <c r="B318" t="str">
        <f>IF(PATIENTS!C318="","",PATIENTS!B318)</f>
        <v/>
      </c>
      <c r="C318" t="str">
        <f>IF(PATIENTS!C318="","",PATIENTS!C318)</f>
        <v/>
      </c>
      <c r="D318" t="str">
        <f>IF(PATIENTS!C318="","",PATIENTS!D318)</f>
        <v/>
      </c>
      <c r="E318" t="str">
        <f>IF(PATIENTS!C318="","",PATIENTS!E318)</f>
        <v/>
      </c>
    </row>
    <row r="319" spans="1:5" x14ac:dyDescent="0.3">
      <c r="A319" t="str">
        <f>IF(PATIENTS!C319="","",PATIENTS!A319)</f>
        <v/>
      </c>
      <c r="B319" t="str">
        <f>IF(PATIENTS!C319="","",PATIENTS!B319)</f>
        <v/>
      </c>
      <c r="C319" t="str">
        <f>IF(PATIENTS!C319="","",PATIENTS!C319)</f>
        <v/>
      </c>
      <c r="D319" t="str">
        <f>IF(PATIENTS!C319="","",PATIENTS!D319)</f>
        <v/>
      </c>
      <c r="E319" t="str">
        <f>IF(PATIENTS!C319="","",PATIENTS!E319)</f>
        <v/>
      </c>
    </row>
    <row r="320" spans="1:5" x14ac:dyDescent="0.3">
      <c r="A320" t="str">
        <f>IF(PATIENTS!C320="","",PATIENTS!A320)</f>
        <v/>
      </c>
      <c r="B320" t="str">
        <f>IF(PATIENTS!C320="","",PATIENTS!B320)</f>
        <v/>
      </c>
      <c r="C320" t="str">
        <f>IF(PATIENTS!C320="","",PATIENTS!C320)</f>
        <v/>
      </c>
      <c r="D320" t="str">
        <f>IF(PATIENTS!C320="","",PATIENTS!D320)</f>
        <v/>
      </c>
      <c r="E320" t="str">
        <f>IF(PATIENTS!C320="","",PATIENTS!E320)</f>
        <v/>
      </c>
    </row>
    <row r="321" spans="1:5" x14ac:dyDescent="0.3">
      <c r="A321" t="str">
        <f>IF(PATIENTS!C321="","",PATIENTS!A321)</f>
        <v/>
      </c>
      <c r="B321" t="str">
        <f>IF(PATIENTS!C321="","",PATIENTS!B321)</f>
        <v/>
      </c>
      <c r="C321" t="str">
        <f>IF(PATIENTS!C321="","",PATIENTS!C321)</f>
        <v/>
      </c>
      <c r="D321" t="str">
        <f>IF(PATIENTS!C321="","",PATIENTS!D321)</f>
        <v/>
      </c>
      <c r="E321" t="str">
        <f>IF(PATIENTS!C321="","",PATIENTS!E321)</f>
        <v/>
      </c>
    </row>
    <row r="322" spans="1:5" x14ac:dyDescent="0.3">
      <c r="A322" t="str">
        <f>IF(PATIENTS!C322="","",PATIENTS!A322)</f>
        <v/>
      </c>
      <c r="B322" t="str">
        <f>IF(PATIENTS!C322="","",PATIENTS!B322)</f>
        <v/>
      </c>
      <c r="C322" t="str">
        <f>IF(PATIENTS!C322="","",PATIENTS!C322)</f>
        <v/>
      </c>
      <c r="D322" t="str">
        <f>IF(PATIENTS!C322="","",PATIENTS!D322)</f>
        <v/>
      </c>
      <c r="E322" t="str">
        <f>IF(PATIENTS!C322="","",PATIENTS!E322)</f>
        <v/>
      </c>
    </row>
    <row r="323" spans="1:5" x14ac:dyDescent="0.3">
      <c r="A323" t="str">
        <f>IF(PATIENTS!C323="","",PATIENTS!A323)</f>
        <v/>
      </c>
      <c r="B323" t="str">
        <f>IF(PATIENTS!C323="","",PATIENTS!B323)</f>
        <v/>
      </c>
      <c r="C323" t="str">
        <f>IF(PATIENTS!C323="","",PATIENTS!C323)</f>
        <v/>
      </c>
      <c r="D323" t="str">
        <f>IF(PATIENTS!C323="","",PATIENTS!D323)</f>
        <v/>
      </c>
      <c r="E323" t="str">
        <f>IF(PATIENTS!C323="","",PATIENTS!E323)</f>
        <v/>
      </c>
    </row>
    <row r="324" spans="1:5" x14ac:dyDescent="0.3">
      <c r="A324" t="str">
        <f>IF(PATIENTS!C324="","",PATIENTS!A324)</f>
        <v/>
      </c>
      <c r="B324" t="str">
        <f>IF(PATIENTS!C324="","",PATIENTS!B324)</f>
        <v/>
      </c>
      <c r="C324" t="str">
        <f>IF(PATIENTS!C324="","",PATIENTS!C324)</f>
        <v/>
      </c>
      <c r="D324" t="str">
        <f>IF(PATIENTS!C324="","",PATIENTS!D324)</f>
        <v/>
      </c>
      <c r="E324" t="str">
        <f>IF(PATIENTS!C324="","",PATIENTS!E324)</f>
        <v/>
      </c>
    </row>
    <row r="325" spans="1:5" x14ac:dyDescent="0.3">
      <c r="A325" t="str">
        <f>IF(PATIENTS!C325="","",PATIENTS!A325)</f>
        <v/>
      </c>
      <c r="B325" t="str">
        <f>IF(PATIENTS!C325="","",PATIENTS!B325)</f>
        <v/>
      </c>
      <c r="C325" t="str">
        <f>IF(PATIENTS!C325="","",PATIENTS!C325)</f>
        <v/>
      </c>
      <c r="D325" t="str">
        <f>IF(PATIENTS!C325="","",PATIENTS!D325)</f>
        <v/>
      </c>
      <c r="E325" t="str">
        <f>IF(PATIENTS!C325="","",PATIENTS!E325)</f>
        <v/>
      </c>
    </row>
    <row r="326" spans="1:5" x14ac:dyDescent="0.3">
      <c r="A326" t="str">
        <f>IF(PATIENTS!C326="","",PATIENTS!A326)</f>
        <v/>
      </c>
      <c r="B326" t="str">
        <f>IF(PATIENTS!C326="","",PATIENTS!B326)</f>
        <v/>
      </c>
      <c r="C326" t="str">
        <f>IF(PATIENTS!C326="","",PATIENTS!C326)</f>
        <v/>
      </c>
      <c r="D326" t="str">
        <f>IF(PATIENTS!C326="","",PATIENTS!D326)</f>
        <v/>
      </c>
      <c r="E326" t="str">
        <f>IF(PATIENTS!C326="","",PATIENTS!E326)</f>
        <v/>
      </c>
    </row>
    <row r="327" spans="1:5" x14ac:dyDescent="0.3">
      <c r="A327" t="str">
        <f>IF(PATIENTS!C327="","",PATIENTS!A327)</f>
        <v/>
      </c>
      <c r="B327" t="str">
        <f>IF(PATIENTS!C327="","",PATIENTS!B327)</f>
        <v/>
      </c>
      <c r="C327" t="str">
        <f>IF(PATIENTS!C327="","",PATIENTS!C327)</f>
        <v/>
      </c>
      <c r="D327" t="str">
        <f>IF(PATIENTS!C327="","",PATIENTS!D327)</f>
        <v/>
      </c>
      <c r="E327" t="str">
        <f>IF(PATIENTS!C327="","",PATIENTS!E327)</f>
        <v/>
      </c>
    </row>
    <row r="328" spans="1:5" x14ac:dyDescent="0.3">
      <c r="A328" t="str">
        <f>IF(PATIENTS!C328="","",PATIENTS!A328)</f>
        <v/>
      </c>
      <c r="B328" t="str">
        <f>IF(PATIENTS!C328="","",PATIENTS!B328)</f>
        <v/>
      </c>
      <c r="C328" t="str">
        <f>IF(PATIENTS!C328="","",PATIENTS!C328)</f>
        <v/>
      </c>
      <c r="D328" t="str">
        <f>IF(PATIENTS!C328="","",PATIENTS!D328)</f>
        <v/>
      </c>
      <c r="E328" t="str">
        <f>IF(PATIENTS!C328="","",PATIENTS!E328)</f>
        <v/>
      </c>
    </row>
    <row r="329" spans="1:5" x14ac:dyDescent="0.3">
      <c r="A329" t="str">
        <f>IF(PATIENTS!C329="","",PATIENTS!A329)</f>
        <v/>
      </c>
      <c r="B329" t="str">
        <f>IF(PATIENTS!C329="","",PATIENTS!B329)</f>
        <v/>
      </c>
      <c r="C329" t="str">
        <f>IF(PATIENTS!C329="","",PATIENTS!C329)</f>
        <v/>
      </c>
      <c r="D329" t="str">
        <f>IF(PATIENTS!C329="","",PATIENTS!D329)</f>
        <v/>
      </c>
      <c r="E329" t="str">
        <f>IF(PATIENTS!C329="","",PATIENTS!E329)</f>
        <v/>
      </c>
    </row>
    <row r="330" spans="1:5" x14ac:dyDescent="0.3">
      <c r="A330" t="str">
        <f>IF(PATIENTS!C330="","",PATIENTS!A330)</f>
        <v/>
      </c>
      <c r="B330" t="str">
        <f>IF(PATIENTS!C330="","",PATIENTS!B330)</f>
        <v/>
      </c>
      <c r="C330" t="str">
        <f>IF(PATIENTS!C330="","",PATIENTS!C330)</f>
        <v/>
      </c>
      <c r="D330" t="str">
        <f>IF(PATIENTS!C330="","",PATIENTS!D330)</f>
        <v/>
      </c>
      <c r="E330" t="str">
        <f>IF(PATIENTS!C330="","",PATIENTS!E330)</f>
        <v/>
      </c>
    </row>
    <row r="331" spans="1:5" x14ac:dyDescent="0.3">
      <c r="A331" t="str">
        <f>IF(PATIENTS!C331="","",PATIENTS!A331)</f>
        <v/>
      </c>
      <c r="B331" t="str">
        <f>IF(PATIENTS!C331="","",PATIENTS!B331)</f>
        <v/>
      </c>
      <c r="C331" t="str">
        <f>IF(PATIENTS!C331="","",PATIENTS!C331)</f>
        <v/>
      </c>
      <c r="D331" t="str">
        <f>IF(PATIENTS!C331="","",PATIENTS!D331)</f>
        <v/>
      </c>
      <c r="E331" t="str">
        <f>IF(PATIENTS!C331="","",PATIENTS!E331)</f>
        <v/>
      </c>
    </row>
    <row r="332" spans="1:5" x14ac:dyDescent="0.3">
      <c r="A332" t="str">
        <f>IF(PATIENTS!C332="","",PATIENTS!A332)</f>
        <v/>
      </c>
      <c r="B332" t="str">
        <f>IF(PATIENTS!C332="","",PATIENTS!B332)</f>
        <v/>
      </c>
      <c r="C332" t="str">
        <f>IF(PATIENTS!C332="","",PATIENTS!C332)</f>
        <v/>
      </c>
      <c r="D332" t="str">
        <f>IF(PATIENTS!C332="","",PATIENTS!D332)</f>
        <v/>
      </c>
      <c r="E332" t="str">
        <f>IF(PATIENTS!C332="","",PATIENTS!E332)</f>
        <v/>
      </c>
    </row>
    <row r="333" spans="1:5" x14ac:dyDescent="0.3">
      <c r="A333" t="str">
        <f>IF(PATIENTS!C333="","",PATIENTS!A333)</f>
        <v/>
      </c>
      <c r="B333" t="str">
        <f>IF(PATIENTS!C333="","",PATIENTS!B333)</f>
        <v/>
      </c>
      <c r="C333" t="str">
        <f>IF(PATIENTS!C333="","",PATIENTS!C333)</f>
        <v/>
      </c>
      <c r="D333" t="str">
        <f>IF(PATIENTS!C333="","",PATIENTS!D333)</f>
        <v/>
      </c>
      <c r="E333" t="str">
        <f>IF(PATIENTS!C333="","",PATIENTS!E333)</f>
        <v/>
      </c>
    </row>
    <row r="334" spans="1:5" x14ac:dyDescent="0.3">
      <c r="A334" t="str">
        <f>IF(PATIENTS!C334="","",PATIENTS!A334)</f>
        <v/>
      </c>
      <c r="B334" t="str">
        <f>IF(PATIENTS!C334="","",PATIENTS!B334)</f>
        <v/>
      </c>
      <c r="C334" t="str">
        <f>IF(PATIENTS!C334="","",PATIENTS!C334)</f>
        <v/>
      </c>
      <c r="D334" t="str">
        <f>IF(PATIENTS!C334="","",PATIENTS!D334)</f>
        <v/>
      </c>
      <c r="E334" t="str">
        <f>IF(PATIENTS!C334="","",PATIENTS!E334)</f>
        <v/>
      </c>
    </row>
    <row r="335" spans="1:5" x14ac:dyDescent="0.3">
      <c r="A335" t="str">
        <f>IF(PATIENTS!C335="","",PATIENTS!A335)</f>
        <v/>
      </c>
      <c r="B335" t="str">
        <f>IF(PATIENTS!C335="","",PATIENTS!B335)</f>
        <v/>
      </c>
      <c r="C335" t="str">
        <f>IF(PATIENTS!C335="","",PATIENTS!C335)</f>
        <v/>
      </c>
      <c r="D335" t="str">
        <f>IF(PATIENTS!C335="","",PATIENTS!D335)</f>
        <v/>
      </c>
      <c r="E335" t="str">
        <f>IF(PATIENTS!C335="","",PATIENTS!E335)</f>
        <v/>
      </c>
    </row>
    <row r="336" spans="1:5" x14ac:dyDescent="0.3">
      <c r="A336" t="str">
        <f>IF(PATIENTS!C336="","",PATIENTS!A336)</f>
        <v/>
      </c>
      <c r="B336" t="str">
        <f>IF(PATIENTS!C336="","",PATIENTS!B336)</f>
        <v/>
      </c>
      <c r="C336" t="str">
        <f>IF(PATIENTS!C336="","",PATIENTS!C336)</f>
        <v/>
      </c>
      <c r="D336" t="str">
        <f>IF(PATIENTS!C336="","",PATIENTS!D336)</f>
        <v/>
      </c>
      <c r="E336" t="str">
        <f>IF(PATIENTS!C336="","",PATIENTS!E336)</f>
        <v/>
      </c>
    </row>
    <row r="337" spans="1:5" x14ac:dyDescent="0.3">
      <c r="A337" t="str">
        <f>IF(PATIENTS!C337="","",PATIENTS!A337)</f>
        <v/>
      </c>
      <c r="B337" t="str">
        <f>IF(PATIENTS!C337="","",PATIENTS!B337)</f>
        <v/>
      </c>
      <c r="C337" t="str">
        <f>IF(PATIENTS!C337="","",PATIENTS!C337)</f>
        <v/>
      </c>
      <c r="D337" t="str">
        <f>IF(PATIENTS!C337="","",PATIENTS!D337)</f>
        <v/>
      </c>
      <c r="E337" t="str">
        <f>IF(PATIENTS!C337="","",PATIENTS!E337)</f>
        <v/>
      </c>
    </row>
    <row r="338" spans="1:5" x14ac:dyDescent="0.3">
      <c r="A338" t="str">
        <f>IF(PATIENTS!C338="","",PATIENTS!A338)</f>
        <v/>
      </c>
      <c r="B338" t="str">
        <f>IF(PATIENTS!C338="","",PATIENTS!B338)</f>
        <v/>
      </c>
      <c r="C338" t="str">
        <f>IF(PATIENTS!C338="","",PATIENTS!C338)</f>
        <v/>
      </c>
      <c r="D338" t="str">
        <f>IF(PATIENTS!C338="","",PATIENTS!D338)</f>
        <v/>
      </c>
      <c r="E338" t="str">
        <f>IF(PATIENTS!C338="","",PATIENTS!E338)</f>
        <v/>
      </c>
    </row>
    <row r="339" spans="1:5" x14ac:dyDescent="0.3">
      <c r="A339" t="str">
        <f>IF(PATIENTS!C339="","",PATIENTS!A339)</f>
        <v/>
      </c>
      <c r="B339" t="str">
        <f>IF(PATIENTS!C339="","",PATIENTS!B339)</f>
        <v/>
      </c>
      <c r="C339" t="str">
        <f>IF(PATIENTS!C339="","",PATIENTS!C339)</f>
        <v/>
      </c>
      <c r="D339" t="str">
        <f>IF(PATIENTS!C339="","",PATIENTS!D339)</f>
        <v/>
      </c>
      <c r="E339" t="str">
        <f>IF(PATIENTS!C339="","",PATIENTS!E339)</f>
        <v/>
      </c>
    </row>
    <row r="340" spans="1:5" x14ac:dyDescent="0.3">
      <c r="A340" t="str">
        <f>IF(PATIENTS!C340="","",PATIENTS!A340)</f>
        <v/>
      </c>
      <c r="B340" t="str">
        <f>IF(PATIENTS!C340="","",PATIENTS!B340)</f>
        <v/>
      </c>
      <c r="C340" t="str">
        <f>IF(PATIENTS!C340="","",PATIENTS!C340)</f>
        <v/>
      </c>
      <c r="D340" t="str">
        <f>IF(PATIENTS!C340="","",PATIENTS!D340)</f>
        <v/>
      </c>
      <c r="E340" t="str">
        <f>IF(PATIENTS!C340="","",PATIENTS!E340)</f>
        <v/>
      </c>
    </row>
    <row r="341" spans="1:5" x14ac:dyDescent="0.3">
      <c r="A341" t="str">
        <f>IF(PATIENTS!C341="","",PATIENTS!A341)</f>
        <v/>
      </c>
      <c r="B341" t="str">
        <f>IF(PATIENTS!C341="","",PATIENTS!B341)</f>
        <v/>
      </c>
      <c r="C341" t="str">
        <f>IF(PATIENTS!C341="","",PATIENTS!C341)</f>
        <v/>
      </c>
      <c r="D341" t="str">
        <f>IF(PATIENTS!C341="","",PATIENTS!D341)</f>
        <v/>
      </c>
      <c r="E341" t="str">
        <f>IF(PATIENTS!C341="","",PATIENTS!E341)</f>
        <v/>
      </c>
    </row>
    <row r="342" spans="1:5" x14ac:dyDescent="0.3">
      <c r="A342" t="str">
        <f>IF(PATIENTS!C342="","",PATIENTS!A342)</f>
        <v/>
      </c>
      <c r="B342" t="str">
        <f>IF(PATIENTS!C342="","",PATIENTS!B342)</f>
        <v/>
      </c>
      <c r="C342" t="str">
        <f>IF(PATIENTS!C342="","",PATIENTS!C342)</f>
        <v/>
      </c>
      <c r="D342" t="str">
        <f>IF(PATIENTS!C342="","",PATIENTS!D342)</f>
        <v/>
      </c>
      <c r="E342" t="str">
        <f>IF(PATIENTS!C342="","",PATIENTS!E342)</f>
        <v/>
      </c>
    </row>
    <row r="343" spans="1:5" x14ac:dyDescent="0.3">
      <c r="A343" t="str">
        <f>IF(PATIENTS!C343="","",PATIENTS!A343)</f>
        <v/>
      </c>
      <c r="B343" t="str">
        <f>IF(PATIENTS!C343="","",PATIENTS!B343)</f>
        <v/>
      </c>
      <c r="C343" t="str">
        <f>IF(PATIENTS!C343="","",PATIENTS!C343)</f>
        <v/>
      </c>
      <c r="D343" t="str">
        <f>IF(PATIENTS!C343="","",PATIENTS!D343)</f>
        <v/>
      </c>
      <c r="E343" t="str">
        <f>IF(PATIENTS!C343="","",PATIENTS!E343)</f>
        <v/>
      </c>
    </row>
    <row r="344" spans="1:5" x14ac:dyDescent="0.3">
      <c r="A344" t="str">
        <f>IF(PATIENTS!C344="","",PATIENTS!A344)</f>
        <v/>
      </c>
      <c r="B344" t="str">
        <f>IF(PATIENTS!C344="","",PATIENTS!B344)</f>
        <v/>
      </c>
      <c r="C344" t="str">
        <f>IF(PATIENTS!C344="","",PATIENTS!C344)</f>
        <v/>
      </c>
      <c r="D344" t="str">
        <f>IF(PATIENTS!C344="","",PATIENTS!D344)</f>
        <v/>
      </c>
      <c r="E344" t="str">
        <f>IF(PATIENTS!C344="","",PATIENTS!E344)</f>
        <v/>
      </c>
    </row>
    <row r="345" spans="1:5" x14ac:dyDescent="0.3">
      <c r="A345" t="str">
        <f>IF(PATIENTS!C345="","",PATIENTS!A345)</f>
        <v/>
      </c>
      <c r="B345" t="str">
        <f>IF(PATIENTS!C345="","",PATIENTS!B345)</f>
        <v/>
      </c>
      <c r="C345" t="str">
        <f>IF(PATIENTS!C345="","",PATIENTS!C345)</f>
        <v/>
      </c>
      <c r="D345" t="str">
        <f>IF(PATIENTS!C345="","",PATIENTS!D345)</f>
        <v/>
      </c>
      <c r="E345" t="str">
        <f>IF(PATIENTS!C345="","",PATIENTS!E345)</f>
        <v/>
      </c>
    </row>
    <row r="346" spans="1:5" x14ac:dyDescent="0.3">
      <c r="A346" t="str">
        <f>IF(PATIENTS!C346="","",PATIENTS!A346)</f>
        <v/>
      </c>
      <c r="B346" t="str">
        <f>IF(PATIENTS!C346="","",PATIENTS!B346)</f>
        <v/>
      </c>
      <c r="C346" t="str">
        <f>IF(PATIENTS!C346="","",PATIENTS!C346)</f>
        <v/>
      </c>
      <c r="D346" t="str">
        <f>IF(PATIENTS!C346="","",PATIENTS!D346)</f>
        <v/>
      </c>
      <c r="E346" t="str">
        <f>IF(PATIENTS!C346="","",PATIENTS!E346)</f>
        <v/>
      </c>
    </row>
    <row r="347" spans="1:5" x14ac:dyDescent="0.3">
      <c r="A347" t="str">
        <f>IF(PATIENTS!C347="","",PATIENTS!A347)</f>
        <v/>
      </c>
      <c r="B347" t="str">
        <f>IF(PATIENTS!C347="","",PATIENTS!B347)</f>
        <v/>
      </c>
      <c r="C347" t="str">
        <f>IF(PATIENTS!C347="","",PATIENTS!C347)</f>
        <v/>
      </c>
      <c r="D347" t="str">
        <f>IF(PATIENTS!C347="","",PATIENTS!D347)</f>
        <v/>
      </c>
      <c r="E347" t="str">
        <f>IF(PATIENTS!C347="","",PATIENTS!E347)</f>
        <v/>
      </c>
    </row>
    <row r="348" spans="1:5" x14ac:dyDescent="0.3">
      <c r="A348" t="str">
        <f>IF(PATIENTS!C348="","",PATIENTS!A348)</f>
        <v/>
      </c>
      <c r="B348" t="str">
        <f>IF(PATIENTS!C348="","",PATIENTS!B348)</f>
        <v/>
      </c>
      <c r="C348" t="str">
        <f>IF(PATIENTS!C348="","",PATIENTS!C348)</f>
        <v/>
      </c>
      <c r="D348" t="str">
        <f>IF(PATIENTS!C348="","",PATIENTS!D348)</f>
        <v/>
      </c>
      <c r="E348" t="str">
        <f>IF(PATIENTS!C348="","",PATIENTS!E348)</f>
        <v/>
      </c>
    </row>
    <row r="349" spans="1:5" x14ac:dyDescent="0.3">
      <c r="A349" t="str">
        <f>IF(PATIENTS!C349="","",PATIENTS!A349)</f>
        <v/>
      </c>
      <c r="B349" t="str">
        <f>IF(PATIENTS!C349="","",PATIENTS!B349)</f>
        <v/>
      </c>
      <c r="C349" t="str">
        <f>IF(PATIENTS!C349="","",PATIENTS!C349)</f>
        <v/>
      </c>
      <c r="D349" t="str">
        <f>IF(PATIENTS!C349="","",PATIENTS!D349)</f>
        <v/>
      </c>
      <c r="E349" t="str">
        <f>IF(PATIENTS!C349="","",PATIENTS!E349)</f>
        <v/>
      </c>
    </row>
    <row r="350" spans="1:5" x14ac:dyDescent="0.3">
      <c r="A350" t="str">
        <f>IF(PATIENTS!C350="","",PATIENTS!A350)</f>
        <v/>
      </c>
      <c r="B350" t="str">
        <f>IF(PATIENTS!C350="","",PATIENTS!B350)</f>
        <v/>
      </c>
      <c r="C350" t="str">
        <f>IF(PATIENTS!C350="","",PATIENTS!C350)</f>
        <v/>
      </c>
      <c r="D350" t="str">
        <f>IF(PATIENTS!C350="","",PATIENTS!D350)</f>
        <v/>
      </c>
      <c r="E350" t="str">
        <f>IF(PATIENTS!C350="","",PATIENTS!E350)</f>
        <v/>
      </c>
    </row>
    <row r="351" spans="1:5" x14ac:dyDescent="0.3">
      <c r="A351" t="str">
        <f>IF(PATIENTS!C351="","",PATIENTS!A351)</f>
        <v/>
      </c>
      <c r="B351" t="str">
        <f>IF(PATIENTS!C351="","",PATIENTS!B351)</f>
        <v/>
      </c>
      <c r="C351" t="str">
        <f>IF(PATIENTS!C351="","",PATIENTS!C351)</f>
        <v/>
      </c>
      <c r="D351" t="str">
        <f>IF(PATIENTS!C351="","",PATIENTS!D351)</f>
        <v/>
      </c>
      <c r="E351" t="str">
        <f>IF(PATIENTS!C351="","",PATIENTS!E351)</f>
        <v/>
      </c>
    </row>
    <row r="352" spans="1:5" x14ac:dyDescent="0.3">
      <c r="A352" t="str">
        <f>IF(PATIENTS!C352="","",PATIENTS!A352)</f>
        <v/>
      </c>
      <c r="B352" t="str">
        <f>IF(PATIENTS!C352="","",PATIENTS!B352)</f>
        <v/>
      </c>
      <c r="C352" t="str">
        <f>IF(PATIENTS!C352="","",PATIENTS!C352)</f>
        <v/>
      </c>
      <c r="D352" t="str">
        <f>IF(PATIENTS!C352="","",PATIENTS!D352)</f>
        <v/>
      </c>
      <c r="E352" t="str">
        <f>IF(PATIENTS!C352="","",PATIENTS!E352)</f>
        <v/>
      </c>
    </row>
    <row r="353" spans="1:5" x14ac:dyDescent="0.3">
      <c r="A353" t="str">
        <f>IF(PATIENTS!C353="","",PATIENTS!A353)</f>
        <v/>
      </c>
      <c r="B353" t="str">
        <f>IF(PATIENTS!C353="","",PATIENTS!B353)</f>
        <v/>
      </c>
      <c r="C353" t="str">
        <f>IF(PATIENTS!C353="","",PATIENTS!C353)</f>
        <v/>
      </c>
      <c r="D353" t="str">
        <f>IF(PATIENTS!C353="","",PATIENTS!D353)</f>
        <v/>
      </c>
      <c r="E353" t="str">
        <f>IF(PATIENTS!C353="","",PATIENTS!E353)</f>
        <v/>
      </c>
    </row>
    <row r="354" spans="1:5" x14ac:dyDescent="0.3">
      <c r="A354" t="str">
        <f>IF(PATIENTS!C354="","",PATIENTS!A354)</f>
        <v/>
      </c>
      <c r="B354" t="str">
        <f>IF(PATIENTS!C354="","",PATIENTS!B354)</f>
        <v/>
      </c>
      <c r="C354" t="str">
        <f>IF(PATIENTS!C354="","",PATIENTS!C354)</f>
        <v/>
      </c>
      <c r="D354" t="str">
        <f>IF(PATIENTS!C354="","",PATIENTS!D354)</f>
        <v/>
      </c>
      <c r="E354" t="str">
        <f>IF(PATIENTS!C354="","",PATIENTS!E354)</f>
        <v/>
      </c>
    </row>
    <row r="355" spans="1:5" x14ac:dyDescent="0.3">
      <c r="A355" t="str">
        <f>IF(PATIENTS!C355="","",PATIENTS!A355)</f>
        <v/>
      </c>
      <c r="B355" t="str">
        <f>IF(PATIENTS!C355="","",PATIENTS!B355)</f>
        <v/>
      </c>
      <c r="C355" t="str">
        <f>IF(PATIENTS!C355="","",PATIENTS!C355)</f>
        <v/>
      </c>
      <c r="D355" t="str">
        <f>IF(PATIENTS!C355="","",PATIENTS!D355)</f>
        <v/>
      </c>
      <c r="E355" t="str">
        <f>IF(PATIENTS!C355="","",PATIENTS!E355)</f>
        <v/>
      </c>
    </row>
    <row r="356" spans="1:5" x14ac:dyDescent="0.3">
      <c r="A356" t="str">
        <f>IF(PATIENTS!C356="","",PATIENTS!A356)</f>
        <v/>
      </c>
      <c r="B356" t="str">
        <f>IF(PATIENTS!C356="","",PATIENTS!B356)</f>
        <v/>
      </c>
      <c r="C356" t="str">
        <f>IF(PATIENTS!C356="","",PATIENTS!C356)</f>
        <v/>
      </c>
      <c r="D356" t="str">
        <f>IF(PATIENTS!C356="","",PATIENTS!D356)</f>
        <v/>
      </c>
      <c r="E356" t="str">
        <f>IF(PATIENTS!C356="","",PATIENTS!E356)</f>
        <v/>
      </c>
    </row>
    <row r="357" spans="1:5" x14ac:dyDescent="0.3">
      <c r="A357" t="str">
        <f>IF(PATIENTS!C357="","",PATIENTS!A357)</f>
        <v/>
      </c>
      <c r="B357" t="str">
        <f>IF(PATIENTS!C357="","",PATIENTS!B357)</f>
        <v/>
      </c>
      <c r="C357" t="str">
        <f>IF(PATIENTS!C357="","",PATIENTS!C357)</f>
        <v/>
      </c>
      <c r="D357" t="str">
        <f>IF(PATIENTS!C357="","",PATIENTS!D357)</f>
        <v/>
      </c>
      <c r="E357" t="str">
        <f>IF(PATIENTS!C357="","",PATIENTS!E357)</f>
        <v/>
      </c>
    </row>
    <row r="358" spans="1:5" x14ac:dyDescent="0.3">
      <c r="A358" t="str">
        <f>IF(PATIENTS!C358="","",PATIENTS!A358)</f>
        <v/>
      </c>
      <c r="B358" t="str">
        <f>IF(PATIENTS!C358="","",PATIENTS!B358)</f>
        <v/>
      </c>
      <c r="C358" t="str">
        <f>IF(PATIENTS!C358="","",PATIENTS!C358)</f>
        <v/>
      </c>
      <c r="D358" t="str">
        <f>IF(PATIENTS!C358="","",PATIENTS!D358)</f>
        <v/>
      </c>
      <c r="E358" t="str">
        <f>IF(PATIENTS!C358="","",PATIENTS!E358)</f>
        <v/>
      </c>
    </row>
    <row r="359" spans="1:5" x14ac:dyDescent="0.3">
      <c r="A359" t="str">
        <f>IF(PATIENTS!C359="","",PATIENTS!A359)</f>
        <v/>
      </c>
      <c r="B359" t="str">
        <f>IF(PATIENTS!C359="","",PATIENTS!B359)</f>
        <v/>
      </c>
      <c r="C359" t="str">
        <f>IF(PATIENTS!C359="","",PATIENTS!C359)</f>
        <v/>
      </c>
      <c r="D359" t="str">
        <f>IF(PATIENTS!C359="","",PATIENTS!D359)</f>
        <v/>
      </c>
      <c r="E359" t="str">
        <f>IF(PATIENTS!C359="","",PATIENTS!E359)</f>
        <v/>
      </c>
    </row>
    <row r="360" spans="1:5" x14ac:dyDescent="0.3">
      <c r="A360" t="str">
        <f>IF(PATIENTS!C360="","",PATIENTS!A360)</f>
        <v/>
      </c>
      <c r="B360" t="str">
        <f>IF(PATIENTS!C360="","",PATIENTS!B360)</f>
        <v/>
      </c>
      <c r="C360" t="str">
        <f>IF(PATIENTS!C360="","",PATIENTS!C360)</f>
        <v/>
      </c>
      <c r="D360" t="str">
        <f>IF(PATIENTS!C360="","",PATIENTS!D360)</f>
        <v/>
      </c>
      <c r="E360" t="str">
        <f>IF(PATIENTS!C360="","",PATIENTS!E360)</f>
        <v/>
      </c>
    </row>
    <row r="361" spans="1:5" x14ac:dyDescent="0.3">
      <c r="A361" t="str">
        <f>IF(PATIENTS!C361="","",PATIENTS!A361)</f>
        <v/>
      </c>
      <c r="B361" t="str">
        <f>IF(PATIENTS!C361="","",PATIENTS!B361)</f>
        <v/>
      </c>
      <c r="C361" t="str">
        <f>IF(PATIENTS!C361="","",PATIENTS!C361)</f>
        <v/>
      </c>
      <c r="D361" t="str">
        <f>IF(PATIENTS!C361="","",PATIENTS!D361)</f>
        <v/>
      </c>
      <c r="E361" t="str">
        <f>IF(PATIENTS!C361="","",PATIENTS!E361)</f>
        <v/>
      </c>
    </row>
    <row r="362" spans="1:5" x14ac:dyDescent="0.3">
      <c r="A362" t="str">
        <f>IF(PATIENTS!C362="","",PATIENTS!A362)</f>
        <v/>
      </c>
      <c r="B362" t="str">
        <f>IF(PATIENTS!C362="","",PATIENTS!B362)</f>
        <v/>
      </c>
      <c r="C362" t="str">
        <f>IF(PATIENTS!C362="","",PATIENTS!C362)</f>
        <v/>
      </c>
      <c r="D362" t="str">
        <f>IF(PATIENTS!C362="","",PATIENTS!D362)</f>
        <v/>
      </c>
      <c r="E362" t="str">
        <f>IF(PATIENTS!C362="","",PATIENTS!E362)</f>
        <v/>
      </c>
    </row>
    <row r="363" spans="1:5" x14ac:dyDescent="0.3">
      <c r="A363" t="str">
        <f>IF(PATIENTS!C363="","",PATIENTS!A363)</f>
        <v/>
      </c>
      <c r="B363" t="str">
        <f>IF(PATIENTS!C363="","",PATIENTS!B363)</f>
        <v/>
      </c>
      <c r="C363" t="str">
        <f>IF(PATIENTS!C363="","",PATIENTS!C363)</f>
        <v/>
      </c>
      <c r="D363" t="str">
        <f>IF(PATIENTS!C363="","",PATIENTS!D363)</f>
        <v/>
      </c>
      <c r="E363" t="str">
        <f>IF(PATIENTS!C363="","",PATIENTS!E363)</f>
        <v/>
      </c>
    </row>
    <row r="364" spans="1:5" x14ac:dyDescent="0.3">
      <c r="A364" t="str">
        <f>IF(PATIENTS!C364="","",PATIENTS!A364)</f>
        <v/>
      </c>
      <c r="B364" t="str">
        <f>IF(PATIENTS!C364="","",PATIENTS!B364)</f>
        <v/>
      </c>
      <c r="C364" t="str">
        <f>IF(PATIENTS!C364="","",PATIENTS!C364)</f>
        <v/>
      </c>
      <c r="D364" t="str">
        <f>IF(PATIENTS!C364="","",PATIENTS!D364)</f>
        <v/>
      </c>
      <c r="E364" t="str">
        <f>IF(PATIENTS!C364="","",PATIENTS!E364)</f>
        <v/>
      </c>
    </row>
    <row r="365" spans="1:5" x14ac:dyDescent="0.3">
      <c r="A365" t="str">
        <f>IF(PATIENTS!C365="","",PATIENTS!A365)</f>
        <v/>
      </c>
      <c r="B365" t="str">
        <f>IF(PATIENTS!C365="","",PATIENTS!B365)</f>
        <v/>
      </c>
      <c r="C365" t="str">
        <f>IF(PATIENTS!C365="","",PATIENTS!C365)</f>
        <v/>
      </c>
      <c r="D365" t="str">
        <f>IF(PATIENTS!C365="","",PATIENTS!D365)</f>
        <v/>
      </c>
      <c r="E365" t="str">
        <f>IF(PATIENTS!C365="","",PATIENTS!E365)</f>
        <v/>
      </c>
    </row>
    <row r="366" spans="1:5" x14ac:dyDescent="0.3">
      <c r="A366" t="str">
        <f>IF(PATIENTS!C366="","",PATIENTS!A366)</f>
        <v/>
      </c>
      <c r="B366" t="str">
        <f>IF(PATIENTS!C366="","",PATIENTS!B366)</f>
        <v/>
      </c>
      <c r="C366" t="str">
        <f>IF(PATIENTS!C366="","",PATIENTS!C366)</f>
        <v/>
      </c>
      <c r="D366" t="str">
        <f>IF(PATIENTS!C366="","",PATIENTS!D366)</f>
        <v/>
      </c>
      <c r="E366" t="str">
        <f>IF(PATIENTS!C366="","",PATIENTS!E366)</f>
        <v/>
      </c>
    </row>
    <row r="367" spans="1:5" x14ac:dyDescent="0.3">
      <c r="A367" t="str">
        <f>IF(PATIENTS!C367="","",PATIENTS!A367)</f>
        <v/>
      </c>
      <c r="B367" t="str">
        <f>IF(PATIENTS!C367="","",PATIENTS!B367)</f>
        <v/>
      </c>
      <c r="C367" t="str">
        <f>IF(PATIENTS!C367="","",PATIENTS!C367)</f>
        <v/>
      </c>
      <c r="D367" t="str">
        <f>IF(PATIENTS!C367="","",PATIENTS!D367)</f>
        <v/>
      </c>
      <c r="E367" t="str">
        <f>IF(PATIENTS!C367="","",PATIENTS!E367)</f>
        <v/>
      </c>
    </row>
    <row r="368" spans="1:5" x14ac:dyDescent="0.3">
      <c r="A368" t="str">
        <f>IF(PATIENTS!C368="","",PATIENTS!A368)</f>
        <v/>
      </c>
      <c r="B368" t="str">
        <f>IF(PATIENTS!C368="","",PATIENTS!B368)</f>
        <v/>
      </c>
      <c r="C368" t="str">
        <f>IF(PATIENTS!C368="","",PATIENTS!C368)</f>
        <v/>
      </c>
      <c r="D368" t="str">
        <f>IF(PATIENTS!C368="","",PATIENTS!D368)</f>
        <v/>
      </c>
      <c r="E368" t="str">
        <f>IF(PATIENTS!C368="","",PATIENTS!E368)</f>
        <v/>
      </c>
    </row>
    <row r="369" spans="1:5" x14ac:dyDescent="0.3">
      <c r="A369" t="str">
        <f>IF(PATIENTS!C369="","",PATIENTS!A369)</f>
        <v/>
      </c>
      <c r="B369" t="str">
        <f>IF(PATIENTS!C369="","",PATIENTS!B369)</f>
        <v/>
      </c>
      <c r="C369" t="str">
        <f>IF(PATIENTS!C369="","",PATIENTS!C369)</f>
        <v/>
      </c>
      <c r="D369" t="str">
        <f>IF(PATIENTS!C369="","",PATIENTS!D369)</f>
        <v/>
      </c>
      <c r="E369" t="str">
        <f>IF(PATIENTS!C369="","",PATIENTS!E369)</f>
        <v/>
      </c>
    </row>
    <row r="370" spans="1:5" x14ac:dyDescent="0.3">
      <c r="A370" t="str">
        <f>IF(PATIENTS!C370="","",PATIENTS!A370)</f>
        <v/>
      </c>
      <c r="B370" t="str">
        <f>IF(PATIENTS!C370="","",PATIENTS!B370)</f>
        <v/>
      </c>
      <c r="C370" t="str">
        <f>IF(PATIENTS!C370="","",PATIENTS!C370)</f>
        <v/>
      </c>
      <c r="D370" t="str">
        <f>IF(PATIENTS!C370="","",PATIENTS!D370)</f>
        <v/>
      </c>
      <c r="E370" t="str">
        <f>IF(PATIENTS!C370="","",PATIENTS!E370)</f>
        <v/>
      </c>
    </row>
    <row r="371" spans="1:5" x14ac:dyDescent="0.3">
      <c r="A371" t="str">
        <f>IF(PATIENTS!C371="","",PATIENTS!A371)</f>
        <v/>
      </c>
      <c r="B371" t="str">
        <f>IF(PATIENTS!C371="","",PATIENTS!B371)</f>
        <v/>
      </c>
      <c r="C371" t="str">
        <f>IF(PATIENTS!C371="","",PATIENTS!C371)</f>
        <v/>
      </c>
      <c r="D371" t="str">
        <f>IF(PATIENTS!C371="","",PATIENTS!D371)</f>
        <v/>
      </c>
      <c r="E371" t="str">
        <f>IF(PATIENTS!C371="","",PATIENTS!E371)</f>
        <v/>
      </c>
    </row>
    <row r="372" spans="1:5" x14ac:dyDescent="0.3">
      <c r="A372" t="str">
        <f>IF(PATIENTS!C372="","",PATIENTS!A372)</f>
        <v/>
      </c>
      <c r="B372" t="str">
        <f>IF(PATIENTS!C372="","",PATIENTS!B372)</f>
        <v/>
      </c>
      <c r="C372" t="str">
        <f>IF(PATIENTS!C372="","",PATIENTS!C372)</f>
        <v/>
      </c>
      <c r="D372" t="str">
        <f>IF(PATIENTS!C372="","",PATIENTS!D372)</f>
        <v/>
      </c>
      <c r="E372" t="str">
        <f>IF(PATIENTS!C372="","",PATIENTS!E372)</f>
        <v/>
      </c>
    </row>
    <row r="373" spans="1:5" x14ac:dyDescent="0.3">
      <c r="A373" t="str">
        <f>IF(PATIENTS!C373="","",PATIENTS!A373)</f>
        <v/>
      </c>
      <c r="B373" t="str">
        <f>IF(PATIENTS!C373="","",PATIENTS!B373)</f>
        <v/>
      </c>
      <c r="C373" t="str">
        <f>IF(PATIENTS!C373="","",PATIENTS!C373)</f>
        <v/>
      </c>
      <c r="D373" t="str">
        <f>IF(PATIENTS!C373="","",PATIENTS!D373)</f>
        <v/>
      </c>
      <c r="E373" t="str">
        <f>IF(PATIENTS!C373="","",PATIENTS!E373)</f>
        <v/>
      </c>
    </row>
    <row r="374" spans="1:5" x14ac:dyDescent="0.3">
      <c r="A374" t="str">
        <f>IF(PATIENTS!C374="","",PATIENTS!A374)</f>
        <v/>
      </c>
      <c r="B374" t="str">
        <f>IF(PATIENTS!C374="","",PATIENTS!B374)</f>
        <v/>
      </c>
      <c r="C374" t="str">
        <f>IF(PATIENTS!C374="","",PATIENTS!C374)</f>
        <v/>
      </c>
      <c r="D374" t="str">
        <f>IF(PATIENTS!C374="","",PATIENTS!D374)</f>
        <v/>
      </c>
      <c r="E374" t="str">
        <f>IF(PATIENTS!C374="","",PATIENTS!E374)</f>
        <v/>
      </c>
    </row>
    <row r="375" spans="1:5" x14ac:dyDescent="0.3">
      <c r="A375" t="str">
        <f>IF(PATIENTS!C375="","",PATIENTS!A375)</f>
        <v/>
      </c>
      <c r="B375" t="str">
        <f>IF(PATIENTS!C375="","",PATIENTS!B375)</f>
        <v/>
      </c>
      <c r="C375" t="str">
        <f>IF(PATIENTS!C375="","",PATIENTS!C375)</f>
        <v/>
      </c>
      <c r="D375" t="str">
        <f>IF(PATIENTS!C375="","",PATIENTS!D375)</f>
        <v/>
      </c>
      <c r="E375" t="str">
        <f>IF(PATIENTS!C375="","",PATIENTS!E375)</f>
        <v/>
      </c>
    </row>
    <row r="376" spans="1:5" x14ac:dyDescent="0.3">
      <c r="A376" t="str">
        <f>IF(PATIENTS!C376="","",PATIENTS!A376)</f>
        <v/>
      </c>
      <c r="B376" t="str">
        <f>IF(PATIENTS!C376="","",PATIENTS!B376)</f>
        <v/>
      </c>
      <c r="C376" t="str">
        <f>IF(PATIENTS!C376="","",PATIENTS!C376)</f>
        <v/>
      </c>
      <c r="D376" t="str">
        <f>IF(PATIENTS!C376="","",PATIENTS!D376)</f>
        <v/>
      </c>
      <c r="E376" t="str">
        <f>IF(PATIENTS!C376="","",PATIENTS!E376)</f>
        <v/>
      </c>
    </row>
    <row r="377" spans="1:5" x14ac:dyDescent="0.3">
      <c r="A377" t="str">
        <f>IF(PATIENTS!C377="","",PATIENTS!A377)</f>
        <v/>
      </c>
      <c r="B377" t="str">
        <f>IF(PATIENTS!C377="","",PATIENTS!B377)</f>
        <v/>
      </c>
      <c r="C377" t="str">
        <f>IF(PATIENTS!C377="","",PATIENTS!C377)</f>
        <v/>
      </c>
      <c r="D377" t="str">
        <f>IF(PATIENTS!C377="","",PATIENTS!D377)</f>
        <v/>
      </c>
      <c r="E377" t="str">
        <f>IF(PATIENTS!C377="","",PATIENTS!E377)</f>
        <v/>
      </c>
    </row>
    <row r="378" spans="1:5" x14ac:dyDescent="0.3">
      <c r="A378" t="str">
        <f>IF(PATIENTS!C378="","",PATIENTS!A378)</f>
        <v/>
      </c>
      <c r="B378" t="str">
        <f>IF(PATIENTS!C378="","",PATIENTS!B378)</f>
        <v/>
      </c>
      <c r="C378" t="str">
        <f>IF(PATIENTS!C378="","",PATIENTS!C378)</f>
        <v/>
      </c>
      <c r="D378" t="str">
        <f>IF(PATIENTS!C378="","",PATIENTS!D378)</f>
        <v/>
      </c>
      <c r="E378" t="str">
        <f>IF(PATIENTS!C378="","",PATIENTS!E378)</f>
        <v/>
      </c>
    </row>
    <row r="379" spans="1:5" x14ac:dyDescent="0.3">
      <c r="A379" t="str">
        <f>IF(PATIENTS!C379="","",PATIENTS!A379)</f>
        <v/>
      </c>
      <c r="B379" t="str">
        <f>IF(PATIENTS!C379="","",PATIENTS!B379)</f>
        <v/>
      </c>
      <c r="C379" t="str">
        <f>IF(PATIENTS!C379="","",PATIENTS!C379)</f>
        <v/>
      </c>
      <c r="D379" t="str">
        <f>IF(PATIENTS!C379="","",PATIENTS!D379)</f>
        <v/>
      </c>
      <c r="E379" t="str">
        <f>IF(PATIENTS!C379="","",PATIENTS!E379)</f>
        <v/>
      </c>
    </row>
    <row r="380" spans="1:5" x14ac:dyDescent="0.3">
      <c r="A380" t="str">
        <f>IF(PATIENTS!C380="","",PATIENTS!A380)</f>
        <v/>
      </c>
      <c r="B380" t="str">
        <f>IF(PATIENTS!C380="","",PATIENTS!B380)</f>
        <v/>
      </c>
      <c r="C380" t="str">
        <f>IF(PATIENTS!C380="","",PATIENTS!C380)</f>
        <v/>
      </c>
      <c r="D380" t="str">
        <f>IF(PATIENTS!C380="","",PATIENTS!D380)</f>
        <v/>
      </c>
      <c r="E380" t="str">
        <f>IF(PATIENTS!C380="","",PATIENTS!E380)</f>
        <v/>
      </c>
    </row>
    <row r="381" spans="1:5" x14ac:dyDescent="0.3">
      <c r="A381" t="str">
        <f>IF(PATIENTS!C381="","",PATIENTS!A381)</f>
        <v/>
      </c>
      <c r="B381" t="str">
        <f>IF(PATIENTS!C381="","",PATIENTS!B381)</f>
        <v/>
      </c>
      <c r="C381" t="str">
        <f>IF(PATIENTS!C381="","",PATIENTS!C381)</f>
        <v/>
      </c>
      <c r="D381" t="str">
        <f>IF(PATIENTS!C381="","",PATIENTS!D381)</f>
        <v/>
      </c>
      <c r="E381" t="str">
        <f>IF(PATIENTS!C381="","",PATIENTS!E381)</f>
        <v/>
      </c>
    </row>
    <row r="382" spans="1:5" x14ac:dyDescent="0.3">
      <c r="A382" t="str">
        <f>IF(PATIENTS!C382="","",PATIENTS!A382)</f>
        <v/>
      </c>
      <c r="B382" t="str">
        <f>IF(PATIENTS!C382="","",PATIENTS!B382)</f>
        <v/>
      </c>
      <c r="C382" t="str">
        <f>IF(PATIENTS!C382="","",PATIENTS!C382)</f>
        <v/>
      </c>
      <c r="D382" t="str">
        <f>IF(PATIENTS!C382="","",PATIENTS!D382)</f>
        <v/>
      </c>
      <c r="E382" t="str">
        <f>IF(PATIENTS!C382="","",PATIENTS!E382)</f>
        <v/>
      </c>
    </row>
    <row r="383" spans="1:5" x14ac:dyDescent="0.3">
      <c r="A383" t="str">
        <f>IF(PATIENTS!C383="","",PATIENTS!A383)</f>
        <v/>
      </c>
      <c r="B383" t="str">
        <f>IF(PATIENTS!C383="","",PATIENTS!B383)</f>
        <v/>
      </c>
      <c r="C383" t="str">
        <f>IF(PATIENTS!C383="","",PATIENTS!C383)</f>
        <v/>
      </c>
      <c r="D383" t="str">
        <f>IF(PATIENTS!C383="","",PATIENTS!D383)</f>
        <v/>
      </c>
      <c r="E383" t="str">
        <f>IF(PATIENTS!C383="","",PATIENTS!E383)</f>
        <v/>
      </c>
    </row>
    <row r="384" spans="1:5" x14ac:dyDescent="0.3">
      <c r="A384" t="str">
        <f>IF(PATIENTS!C384="","",PATIENTS!A384)</f>
        <v/>
      </c>
      <c r="B384" t="str">
        <f>IF(PATIENTS!C384="","",PATIENTS!B384)</f>
        <v/>
      </c>
      <c r="C384" t="str">
        <f>IF(PATIENTS!C384="","",PATIENTS!C384)</f>
        <v/>
      </c>
      <c r="D384" t="str">
        <f>IF(PATIENTS!C384="","",PATIENTS!D384)</f>
        <v/>
      </c>
      <c r="E384" t="str">
        <f>IF(PATIENTS!C384="","",PATIENTS!E384)</f>
        <v/>
      </c>
    </row>
    <row r="385" spans="1:5" x14ac:dyDescent="0.3">
      <c r="A385" t="str">
        <f>IF(PATIENTS!C385="","",PATIENTS!A385)</f>
        <v/>
      </c>
      <c r="B385" t="str">
        <f>IF(PATIENTS!C385="","",PATIENTS!B385)</f>
        <v/>
      </c>
      <c r="C385" t="str">
        <f>IF(PATIENTS!C385="","",PATIENTS!C385)</f>
        <v/>
      </c>
      <c r="D385" t="str">
        <f>IF(PATIENTS!C385="","",PATIENTS!D385)</f>
        <v/>
      </c>
      <c r="E385" t="str">
        <f>IF(PATIENTS!C385="","",PATIENTS!E385)</f>
        <v/>
      </c>
    </row>
    <row r="386" spans="1:5" x14ac:dyDescent="0.3">
      <c r="A386" t="str">
        <f>IF(PATIENTS!C386="","",PATIENTS!A386)</f>
        <v/>
      </c>
      <c r="B386" t="str">
        <f>IF(PATIENTS!C386="","",PATIENTS!B386)</f>
        <v/>
      </c>
      <c r="C386" t="str">
        <f>IF(PATIENTS!C386="","",PATIENTS!C386)</f>
        <v/>
      </c>
      <c r="D386" t="str">
        <f>IF(PATIENTS!C386="","",PATIENTS!D386)</f>
        <v/>
      </c>
      <c r="E386" t="str">
        <f>IF(PATIENTS!C386="","",PATIENTS!E386)</f>
        <v/>
      </c>
    </row>
    <row r="387" spans="1:5" x14ac:dyDescent="0.3">
      <c r="A387" t="str">
        <f>IF(PATIENTS!C387="","",PATIENTS!A387)</f>
        <v/>
      </c>
      <c r="B387" t="str">
        <f>IF(PATIENTS!C387="","",PATIENTS!B387)</f>
        <v/>
      </c>
      <c r="C387" t="str">
        <f>IF(PATIENTS!C387="","",PATIENTS!C387)</f>
        <v/>
      </c>
      <c r="D387" t="str">
        <f>IF(PATIENTS!C387="","",PATIENTS!D387)</f>
        <v/>
      </c>
      <c r="E387" t="str">
        <f>IF(PATIENTS!C387="","",PATIENTS!E387)</f>
        <v/>
      </c>
    </row>
    <row r="388" spans="1:5" x14ac:dyDescent="0.3">
      <c r="A388" t="str">
        <f>IF(PATIENTS!C388="","",PATIENTS!A388)</f>
        <v/>
      </c>
      <c r="B388" t="str">
        <f>IF(PATIENTS!C388="","",PATIENTS!B388)</f>
        <v/>
      </c>
      <c r="C388" t="str">
        <f>IF(PATIENTS!C388="","",PATIENTS!C388)</f>
        <v/>
      </c>
      <c r="D388" t="str">
        <f>IF(PATIENTS!C388="","",PATIENTS!D388)</f>
        <v/>
      </c>
      <c r="E388" t="str">
        <f>IF(PATIENTS!C388="","",PATIENTS!E388)</f>
        <v/>
      </c>
    </row>
    <row r="389" spans="1:5" x14ac:dyDescent="0.3">
      <c r="A389" t="str">
        <f>IF(PATIENTS!C389="","",PATIENTS!A389)</f>
        <v/>
      </c>
      <c r="B389" t="str">
        <f>IF(PATIENTS!C389="","",PATIENTS!B389)</f>
        <v/>
      </c>
      <c r="C389" t="str">
        <f>IF(PATIENTS!C389="","",PATIENTS!C389)</f>
        <v/>
      </c>
      <c r="D389" t="str">
        <f>IF(PATIENTS!C389="","",PATIENTS!D389)</f>
        <v/>
      </c>
      <c r="E389" t="str">
        <f>IF(PATIENTS!C389="","",PATIENTS!E389)</f>
        <v/>
      </c>
    </row>
    <row r="390" spans="1:5" x14ac:dyDescent="0.3">
      <c r="A390" t="str">
        <f>IF(PATIENTS!C390="","",PATIENTS!A390)</f>
        <v/>
      </c>
      <c r="B390" t="str">
        <f>IF(PATIENTS!C390="","",PATIENTS!B390)</f>
        <v/>
      </c>
      <c r="C390" t="str">
        <f>IF(PATIENTS!C390="","",PATIENTS!C390)</f>
        <v/>
      </c>
      <c r="D390" t="str">
        <f>IF(PATIENTS!C390="","",PATIENTS!D390)</f>
        <v/>
      </c>
      <c r="E390" t="str">
        <f>IF(PATIENTS!C390="","",PATIENTS!E390)</f>
        <v/>
      </c>
    </row>
    <row r="391" spans="1:5" x14ac:dyDescent="0.3">
      <c r="A391" t="str">
        <f>IF(PATIENTS!C391="","",PATIENTS!A391)</f>
        <v/>
      </c>
      <c r="B391" t="str">
        <f>IF(PATIENTS!C391="","",PATIENTS!B391)</f>
        <v/>
      </c>
      <c r="C391" t="str">
        <f>IF(PATIENTS!C391="","",PATIENTS!C391)</f>
        <v/>
      </c>
      <c r="D391" t="str">
        <f>IF(PATIENTS!C391="","",PATIENTS!D391)</f>
        <v/>
      </c>
      <c r="E391" t="str">
        <f>IF(PATIENTS!C391="","",PATIENTS!E391)</f>
        <v/>
      </c>
    </row>
    <row r="392" spans="1:5" x14ac:dyDescent="0.3">
      <c r="A392" t="str">
        <f>IF(PATIENTS!C392="","",PATIENTS!A392)</f>
        <v/>
      </c>
      <c r="B392" t="str">
        <f>IF(PATIENTS!C392="","",PATIENTS!B392)</f>
        <v/>
      </c>
      <c r="C392" t="str">
        <f>IF(PATIENTS!C392="","",PATIENTS!C392)</f>
        <v/>
      </c>
      <c r="D392" t="str">
        <f>IF(PATIENTS!C392="","",PATIENTS!D392)</f>
        <v/>
      </c>
      <c r="E392" t="str">
        <f>IF(PATIENTS!C392="","",PATIENTS!E392)</f>
        <v/>
      </c>
    </row>
    <row r="393" spans="1:5" x14ac:dyDescent="0.3">
      <c r="A393" t="str">
        <f>IF(PATIENTS!C393="","",PATIENTS!A393)</f>
        <v/>
      </c>
      <c r="B393" t="str">
        <f>IF(PATIENTS!C393="","",PATIENTS!B393)</f>
        <v/>
      </c>
      <c r="C393" t="str">
        <f>IF(PATIENTS!C393="","",PATIENTS!C393)</f>
        <v/>
      </c>
      <c r="D393" t="str">
        <f>IF(PATIENTS!C393="","",PATIENTS!D393)</f>
        <v/>
      </c>
      <c r="E393" t="str">
        <f>IF(PATIENTS!C393="","",PATIENTS!E393)</f>
        <v/>
      </c>
    </row>
    <row r="394" spans="1:5" x14ac:dyDescent="0.3">
      <c r="A394" t="str">
        <f>IF(PATIENTS!C394="","",PATIENTS!A394)</f>
        <v/>
      </c>
      <c r="B394" t="str">
        <f>IF(PATIENTS!C394="","",PATIENTS!B394)</f>
        <v/>
      </c>
      <c r="C394" t="str">
        <f>IF(PATIENTS!C394="","",PATIENTS!C394)</f>
        <v/>
      </c>
      <c r="D394" t="str">
        <f>IF(PATIENTS!C394="","",PATIENTS!D394)</f>
        <v/>
      </c>
      <c r="E394" t="str">
        <f>IF(PATIENTS!C394="","",PATIENTS!E394)</f>
        <v/>
      </c>
    </row>
    <row r="395" spans="1:5" x14ac:dyDescent="0.3">
      <c r="A395" t="str">
        <f>IF(PATIENTS!C395="","",PATIENTS!A395)</f>
        <v/>
      </c>
      <c r="B395" t="str">
        <f>IF(PATIENTS!C395="","",PATIENTS!B395)</f>
        <v/>
      </c>
      <c r="C395" t="str">
        <f>IF(PATIENTS!C395="","",PATIENTS!C395)</f>
        <v/>
      </c>
      <c r="D395" t="str">
        <f>IF(PATIENTS!C395="","",PATIENTS!D395)</f>
        <v/>
      </c>
      <c r="E395" t="str">
        <f>IF(PATIENTS!C395="","",PATIENTS!E395)</f>
        <v/>
      </c>
    </row>
    <row r="396" spans="1:5" x14ac:dyDescent="0.3">
      <c r="A396" t="str">
        <f>IF(PATIENTS!C396="","",PATIENTS!A396)</f>
        <v/>
      </c>
      <c r="B396" t="str">
        <f>IF(PATIENTS!C396="","",PATIENTS!B396)</f>
        <v/>
      </c>
      <c r="C396" t="str">
        <f>IF(PATIENTS!C396="","",PATIENTS!C396)</f>
        <v/>
      </c>
      <c r="D396" t="str">
        <f>IF(PATIENTS!C396="","",PATIENTS!D396)</f>
        <v/>
      </c>
      <c r="E396" t="str">
        <f>IF(PATIENTS!C396="","",PATIENTS!E396)</f>
        <v/>
      </c>
    </row>
    <row r="397" spans="1:5" x14ac:dyDescent="0.3">
      <c r="A397" t="str">
        <f>IF(PATIENTS!C397="","",PATIENTS!A397)</f>
        <v/>
      </c>
      <c r="B397" t="str">
        <f>IF(PATIENTS!C397="","",PATIENTS!B397)</f>
        <v/>
      </c>
      <c r="C397" t="str">
        <f>IF(PATIENTS!C397="","",PATIENTS!C397)</f>
        <v/>
      </c>
      <c r="D397" t="str">
        <f>IF(PATIENTS!C397="","",PATIENTS!D397)</f>
        <v/>
      </c>
      <c r="E397" t="str">
        <f>IF(PATIENTS!C397="","",PATIENTS!E397)</f>
        <v/>
      </c>
    </row>
    <row r="398" spans="1:5" x14ac:dyDescent="0.3">
      <c r="A398" t="str">
        <f>IF(PATIENTS!C398="","",PATIENTS!A398)</f>
        <v/>
      </c>
      <c r="B398" t="str">
        <f>IF(PATIENTS!C398="","",PATIENTS!B398)</f>
        <v/>
      </c>
      <c r="C398" t="str">
        <f>IF(PATIENTS!C398="","",PATIENTS!C398)</f>
        <v/>
      </c>
      <c r="D398" t="str">
        <f>IF(PATIENTS!C398="","",PATIENTS!D398)</f>
        <v/>
      </c>
      <c r="E398" t="str">
        <f>IF(PATIENTS!C398="","",PATIENTS!E398)</f>
        <v/>
      </c>
    </row>
    <row r="399" spans="1:5" x14ac:dyDescent="0.3">
      <c r="A399" t="str">
        <f>IF(PATIENTS!C399="","",PATIENTS!A399)</f>
        <v/>
      </c>
      <c r="B399" t="str">
        <f>IF(PATIENTS!C399="","",PATIENTS!B399)</f>
        <v/>
      </c>
      <c r="C399" t="str">
        <f>IF(PATIENTS!C399="","",PATIENTS!C399)</f>
        <v/>
      </c>
      <c r="D399" t="str">
        <f>IF(PATIENTS!C399="","",PATIENTS!D399)</f>
        <v/>
      </c>
      <c r="E399" t="str">
        <f>IF(PATIENTS!C399="","",PATIENTS!E399)</f>
        <v/>
      </c>
    </row>
    <row r="400" spans="1:5" x14ac:dyDescent="0.3">
      <c r="A400" t="str">
        <f>IF(PATIENTS!C400="","",PATIENTS!A400)</f>
        <v/>
      </c>
      <c r="B400" t="str">
        <f>IF(PATIENTS!C400="","",PATIENTS!B400)</f>
        <v/>
      </c>
      <c r="C400" t="str">
        <f>IF(PATIENTS!C400="","",PATIENTS!C400)</f>
        <v/>
      </c>
      <c r="D400" t="str">
        <f>IF(PATIENTS!C400="","",PATIENTS!D400)</f>
        <v/>
      </c>
      <c r="E400" t="str">
        <f>IF(PATIENTS!C400="","",PATIENTS!E400)</f>
        <v/>
      </c>
    </row>
    <row r="401" spans="1:5" x14ac:dyDescent="0.3">
      <c r="A401" t="str">
        <f>IF(PATIENTS!C401="","",PATIENTS!A401)</f>
        <v/>
      </c>
      <c r="B401" t="str">
        <f>IF(PATIENTS!C401="","",PATIENTS!B401)</f>
        <v/>
      </c>
      <c r="C401" t="str">
        <f>IF(PATIENTS!C401="","",PATIENTS!C401)</f>
        <v/>
      </c>
      <c r="D401" t="str">
        <f>IF(PATIENTS!C401="","",PATIENTS!D401)</f>
        <v/>
      </c>
      <c r="E401" t="str">
        <f>IF(PATIENTS!C401="","",PATIENTS!E401)</f>
        <v/>
      </c>
    </row>
    <row r="402" spans="1:5" x14ac:dyDescent="0.3">
      <c r="A402" t="str">
        <f>IF(PATIENTS!C402="","",PATIENTS!A402)</f>
        <v/>
      </c>
      <c r="B402" t="str">
        <f>IF(PATIENTS!C402="","",PATIENTS!B402)</f>
        <v/>
      </c>
      <c r="C402" t="str">
        <f>IF(PATIENTS!C402="","",PATIENTS!C402)</f>
        <v/>
      </c>
      <c r="D402" t="str">
        <f>IF(PATIENTS!C402="","",PATIENTS!D402)</f>
        <v/>
      </c>
      <c r="E402" t="str">
        <f>IF(PATIENTS!C402="","",PATIENTS!E402)</f>
        <v/>
      </c>
    </row>
    <row r="403" spans="1:5" x14ac:dyDescent="0.3">
      <c r="A403" t="str">
        <f>IF(PATIENTS!C403="","",PATIENTS!A403)</f>
        <v/>
      </c>
      <c r="B403" t="str">
        <f>IF(PATIENTS!C403="","",PATIENTS!B403)</f>
        <v/>
      </c>
      <c r="C403" t="str">
        <f>IF(PATIENTS!C403="","",PATIENTS!C403)</f>
        <v/>
      </c>
      <c r="D403" t="str">
        <f>IF(PATIENTS!C403="","",PATIENTS!D403)</f>
        <v/>
      </c>
      <c r="E403" t="str">
        <f>IF(PATIENTS!C403="","",PATIENTS!E403)</f>
        <v/>
      </c>
    </row>
    <row r="404" spans="1:5" x14ac:dyDescent="0.3">
      <c r="A404" t="str">
        <f>IF(PATIENTS!C404="","",PATIENTS!A404)</f>
        <v/>
      </c>
      <c r="B404" t="str">
        <f>IF(PATIENTS!C404="","",PATIENTS!B404)</f>
        <v/>
      </c>
      <c r="C404" t="str">
        <f>IF(PATIENTS!C404="","",PATIENTS!C404)</f>
        <v/>
      </c>
      <c r="D404" t="str">
        <f>IF(PATIENTS!C404="","",PATIENTS!D404)</f>
        <v/>
      </c>
      <c r="E404" t="str">
        <f>IF(PATIENTS!C404="","",PATIENTS!E404)</f>
        <v/>
      </c>
    </row>
    <row r="405" spans="1:5" x14ac:dyDescent="0.3">
      <c r="A405" t="str">
        <f>IF(PATIENTS!C405="","",PATIENTS!A405)</f>
        <v/>
      </c>
      <c r="B405" t="str">
        <f>IF(PATIENTS!C405="","",PATIENTS!B405)</f>
        <v/>
      </c>
      <c r="C405" t="str">
        <f>IF(PATIENTS!C405="","",PATIENTS!C405)</f>
        <v/>
      </c>
      <c r="D405" t="str">
        <f>IF(PATIENTS!C405="","",PATIENTS!D405)</f>
        <v/>
      </c>
      <c r="E405" t="str">
        <f>IF(PATIENTS!C405="","",PATIENTS!E405)</f>
        <v/>
      </c>
    </row>
    <row r="406" spans="1:5" x14ac:dyDescent="0.3">
      <c r="A406" t="str">
        <f>IF(PATIENTS!C406="","",PATIENTS!A406)</f>
        <v/>
      </c>
      <c r="B406" t="str">
        <f>IF(PATIENTS!C406="","",PATIENTS!B406)</f>
        <v/>
      </c>
      <c r="C406" t="str">
        <f>IF(PATIENTS!C406="","",PATIENTS!C406)</f>
        <v/>
      </c>
      <c r="D406" t="str">
        <f>IF(PATIENTS!C406="","",PATIENTS!D406)</f>
        <v/>
      </c>
      <c r="E406" t="str">
        <f>IF(PATIENTS!C406="","",PATIENTS!E406)</f>
        <v/>
      </c>
    </row>
    <row r="407" spans="1:5" x14ac:dyDescent="0.3">
      <c r="A407" t="str">
        <f>IF(PATIENTS!C407="","",PATIENTS!A407)</f>
        <v/>
      </c>
      <c r="B407" t="str">
        <f>IF(PATIENTS!C407="","",PATIENTS!B407)</f>
        <v/>
      </c>
      <c r="C407" t="str">
        <f>IF(PATIENTS!C407="","",PATIENTS!C407)</f>
        <v/>
      </c>
      <c r="D407" t="str">
        <f>IF(PATIENTS!C407="","",PATIENTS!D407)</f>
        <v/>
      </c>
      <c r="E407" t="str">
        <f>IF(PATIENTS!C407="","",PATIENTS!E407)</f>
        <v/>
      </c>
    </row>
    <row r="408" spans="1:5" x14ac:dyDescent="0.3">
      <c r="A408" t="str">
        <f>IF(PATIENTS!C408="","",PATIENTS!A408)</f>
        <v/>
      </c>
      <c r="B408" t="str">
        <f>IF(PATIENTS!C408="","",PATIENTS!B408)</f>
        <v/>
      </c>
      <c r="C408" t="str">
        <f>IF(PATIENTS!C408="","",PATIENTS!C408)</f>
        <v/>
      </c>
      <c r="D408" t="str">
        <f>IF(PATIENTS!C408="","",PATIENTS!D408)</f>
        <v/>
      </c>
      <c r="E408" t="str">
        <f>IF(PATIENTS!C408="","",PATIENTS!E408)</f>
        <v/>
      </c>
    </row>
    <row r="409" spans="1:5" x14ac:dyDescent="0.3">
      <c r="A409" t="str">
        <f>IF(PATIENTS!C409="","",PATIENTS!A409)</f>
        <v/>
      </c>
      <c r="B409" t="str">
        <f>IF(PATIENTS!C409="","",PATIENTS!B409)</f>
        <v/>
      </c>
      <c r="C409" t="str">
        <f>IF(PATIENTS!C409="","",PATIENTS!C409)</f>
        <v/>
      </c>
      <c r="D409" t="str">
        <f>IF(PATIENTS!C409="","",PATIENTS!D409)</f>
        <v/>
      </c>
      <c r="E409" t="str">
        <f>IF(PATIENTS!C409="","",PATIENTS!E409)</f>
        <v/>
      </c>
    </row>
    <row r="410" spans="1:5" x14ac:dyDescent="0.3">
      <c r="A410" t="str">
        <f>IF(PATIENTS!C410="","",PATIENTS!A410)</f>
        <v/>
      </c>
      <c r="B410" t="str">
        <f>IF(PATIENTS!C410="","",PATIENTS!B410)</f>
        <v/>
      </c>
      <c r="C410" t="str">
        <f>IF(PATIENTS!C410="","",PATIENTS!C410)</f>
        <v/>
      </c>
      <c r="D410" t="str">
        <f>IF(PATIENTS!C410="","",PATIENTS!D410)</f>
        <v/>
      </c>
      <c r="E410" t="str">
        <f>IF(PATIENTS!C410="","",PATIENTS!E410)</f>
        <v/>
      </c>
    </row>
    <row r="411" spans="1:5" x14ac:dyDescent="0.3">
      <c r="A411" t="str">
        <f>IF(PATIENTS!C411="","",PATIENTS!A411)</f>
        <v/>
      </c>
      <c r="B411" t="str">
        <f>IF(PATIENTS!C411="","",PATIENTS!B411)</f>
        <v/>
      </c>
      <c r="C411" t="str">
        <f>IF(PATIENTS!C411="","",PATIENTS!C411)</f>
        <v/>
      </c>
      <c r="D411" t="str">
        <f>IF(PATIENTS!C411="","",PATIENTS!D411)</f>
        <v/>
      </c>
      <c r="E411" t="str">
        <f>IF(PATIENTS!C411="","",PATIENTS!E411)</f>
        <v/>
      </c>
    </row>
    <row r="412" spans="1:5" x14ac:dyDescent="0.3">
      <c r="A412" t="str">
        <f>IF(PATIENTS!C412="","",PATIENTS!A412)</f>
        <v/>
      </c>
      <c r="B412" t="str">
        <f>IF(PATIENTS!C412="","",PATIENTS!B412)</f>
        <v/>
      </c>
      <c r="C412" t="str">
        <f>IF(PATIENTS!C412="","",PATIENTS!C412)</f>
        <v/>
      </c>
      <c r="D412" t="str">
        <f>IF(PATIENTS!C412="","",PATIENTS!D412)</f>
        <v/>
      </c>
      <c r="E412" t="str">
        <f>IF(PATIENTS!C412="","",PATIENTS!E412)</f>
        <v/>
      </c>
    </row>
    <row r="413" spans="1:5" x14ac:dyDescent="0.3">
      <c r="A413" t="str">
        <f>IF(PATIENTS!C413="","",PATIENTS!A413)</f>
        <v/>
      </c>
      <c r="B413" t="str">
        <f>IF(PATIENTS!C413="","",PATIENTS!B413)</f>
        <v/>
      </c>
      <c r="C413" t="str">
        <f>IF(PATIENTS!C413="","",PATIENTS!C413)</f>
        <v/>
      </c>
      <c r="D413" t="str">
        <f>IF(PATIENTS!C413="","",PATIENTS!D413)</f>
        <v/>
      </c>
      <c r="E413" t="str">
        <f>IF(PATIENTS!C413="","",PATIENTS!E413)</f>
        <v/>
      </c>
    </row>
    <row r="414" spans="1:5" x14ac:dyDescent="0.3">
      <c r="A414" t="str">
        <f>IF(PATIENTS!C414="","",PATIENTS!A414)</f>
        <v/>
      </c>
      <c r="B414" t="str">
        <f>IF(PATIENTS!C414="","",PATIENTS!B414)</f>
        <v/>
      </c>
      <c r="C414" t="str">
        <f>IF(PATIENTS!C414="","",PATIENTS!C414)</f>
        <v/>
      </c>
      <c r="D414" t="str">
        <f>IF(PATIENTS!C414="","",PATIENTS!D414)</f>
        <v/>
      </c>
      <c r="E414" t="str">
        <f>IF(PATIENTS!C414="","",PATIENTS!E414)</f>
        <v/>
      </c>
    </row>
    <row r="415" spans="1:5" x14ac:dyDescent="0.3">
      <c r="A415" t="str">
        <f>IF(PATIENTS!C415="","",PATIENTS!A415)</f>
        <v/>
      </c>
      <c r="B415" t="str">
        <f>IF(PATIENTS!C415="","",PATIENTS!B415)</f>
        <v/>
      </c>
      <c r="C415" t="str">
        <f>IF(PATIENTS!C415="","",PATIENTS!C415)</f>
        <v/>
      </c>
      <c r="D415" t="str">
        <f>IF(PATIENTS!C415="","",PATIENTS!D415)</f>
        <v/>
      </c>
      <c r="E415" t="str">
        <f>IF(PATIENTS!C415="","",PATIENTS!E415)</f>
        <v/>
      </c>
    </row>
    <row r="416" spans="1:5" x14ac:dyDescent="0.3">
      <c r="A416" t="str">
        <f>IF(PATIENTS!C416="","",PATIENTS!A416)</f>
        <v/>
      </c>
      <c r="B416" t="str">
        <f>IF(PATIENTS!C416="","",PATIENTS!B416)</f>
        <v/>
      </c>
      <c r="C416" t="str">
        <f>IF(PATIENTS!C416="","",PATIENTS!C416)</f>
        <v/>
      </c>
      <c r="D416" t="str">
        <f>IF(PATIENTS!C416="","",PATIENTS!D416)</f>
        <v/>
      </c>
      <c r="E416" t="str">
        <f>IF(PATIENTS!C416="","",PATIENTS!E416)</f>
        <v/>
      </c>
    </row>
    <row r="417" spans="1:5" x14ac:dyDescent="0.3">
      <c r="A417" t="str">
        <f>IF(PATIENTS!C417="","",PATIENTS!A417)</f>
        <v/>
      </c>
      <c r="B417" t="str">
        <f>IF(PATIENTS!C417="","",PATIENTS!B417)</f>
        <v/>
      </c>
      <c r="C417" t="str">
        <f>IF(PATIENTS!C417="","",PATIENTS!C417)</f>
        <v/>
      </c>
      <c r="D417" t="str">
        <f>IF(PATIENTS!C417="","",PATIENTS!D417)</f>
        <v/>
      </c>
      <c r="E417" t="str">
        <f>IF(PATIENTS!C417="","",PATIENTS!E417)</f>
        <v/>
      </c>
    </row>
    <row r="418" spans="1:5" x14ac:dyDescent="0.3">
      <c r="A418" t="str">
        <f>IF(PATIENTS!C418="","",PATIENTS!A418)</f>
        <v/>
      </c>
      <c r="B418" t="str">
        <f>IF(PATIENTS!C418="","",PATIENTS!B418)</f>
        <v/>
      </c>
      <c r="C418" t="str">
        <f>IF(PATIENTS!C418="","",PATIENTS!C418)</f>
        <v/>
      </c>
      <c r="D418" t="str">
        <f>IF(PATIENTS!C418="","",PATIENTS!D418)</f>
        <v/>
      </c>
      <c r="E418" t="str">
        <f>IF(PATIENTS!C418="","",PATIENTS!E418)</f>
        <v/>
      </c>
    </row>
    <row r="419" spans="1:5" x14ac:dyDescent="0.3">
      <c r="A419" t="str">
        <f>IF(PATIENTS!C419="","",PATIENTS!A419)</f>
        <v/>
      </c>
      <c r="B419" t="str">
        <f>IF(PATIENTS!C419="","",PATIENTS!B419)</f>
        <v/>
      </c>
      <c r="C419" t="str">
        <f>IF(PATIENTS!C419="","",PATIENTS!C419)</f>
        <v/>
      </c>
      <c r="D419" t="str">
        <f>IF(PATIENTS!C419="","",PATIENTS!D419)</f>
        <v/>
      </c>
      <c r="E419" t="str">
        <f>IF(PATIENTS!C419="","",PATIENTS!E419)</f>
        <v/>
      </c>
    </row>
    <row r="420" spans="1:5" x14ac:dyDescent="0.3">
      <c r="A420" t="str">
        <f>IF(PATIENTS!C420="","",PATIENTS!A420)</f>
        <v/>
      </c>
      <c r="B420" t="str">
        <f>IF(PATIENTS!C420="","",PATIENTS!B420)</f>
        <v/>
      </c>
      <c r="C420" t="str">
        <f>IF(PATIENTS!C420="","",PATIENTS!C420)</f>
        <v/>
      </c>
      <c r="D420" t="str">
        <f>IF(PATIENTS!C420="","",PATIENTS!D420)</f>
        <v/>
      </c>
      <c r="E420" t="str">
        <f>IF(PATIENTS!C420="","",PATIENTS!E420)</f>
        <v/>
      </c>
    </row>
    <row r="421" spans="1:5" x14ac:dyDescent="0.3">
      <c r="A421" t="str">
        <f>IF(PATIENTS!C421="","",PATIENTS!A421)</f>
        <v/>
      </c>
      <c r="B421" t="str">
        <f>IF(PATIENTS!C421="","",PATIENTS!B421)</f>
        <v/>
      </c>
      <c r="C421" t="str">
        <f>IF(PATIENTS!C421="","",PATIENTS!C421)</f>
        <v/>
      </c>
      <c r="D421" t="str">
        <f>IF(PATIENTS!C421="","",PATIENTS!D421)</f>
        <v/>
      </c>
      <c r="E421" t="str">
        <f>IF(PATIENTS!C421="","",PATIENTS!E421)</f>
        <v/>
      </c>
    </row>
    <row r="422" spans="1:5" x14ac:dyDescent="0.3">
      <c r="A422" t="str">
        <f>IF(PATIENTS!C422="","",PATIENTS!A422)</f>
        <v/>
      </c>
      <c r="B422" t="str">
        <f>IF(PATIENTS!C422="","",PATIENTS!B422)</f>
        <v/>
      </c>
      <c r="C422" t="str">
        <f>IF(PATIENTS!C422="","",PATIENTS!C422)</f>
        <v/>
      </c>
      <c r="D422" t="str">
        <f>IF(PATIENTS!C422="","",PATIENTS!D422)</f>
        <v/>
      </c>
      <c r="E422" t="str">
        <f>IF(PATIENTS!C422="","",PATIENTS!E422)</f>
        <v/>
      </c>
    </row>
    <row r="423" spans="1:5" x14ac:dyDescent="0.3">
      <c r="A423" t="str">
        <f>IF(PATIENTS!C423="","",PATIENTS!A423)</f>
        <v/>
      </c>
      <c r="B423" t="str">
        <f>IF(PATIENTS!C423="","",PATIENTS!B423)</f>
        <v/>
      </c>
      <c r="C423" t="str">
        <f>IF(PATIENTS!C423="","",PATIENTS!C423)</f>
        <v/>
      </c>
      <c r="D423" t="str">
        <f>IF(PATIENTS!C423="","",PATIENTS!D423)</f>
        <v/>
      </c>
      <c r="E423" t="str">
        <f>IF(PATIENTS!C423="","",PATIENTS!E423)</f>
        <v/>
      </c>
    </row>
    <row r="424" spans="1:5" x14ac:dyDescent="0.3">
      <c r="A424" t="str">
        <f>IF(PATIENTS!C424="","",PATIENTS!A424)</f>
        <v/>
      </c>
      <c r="B424" t="str">
        <f>IF(PATIENTS!C424="","",PATIENTS!B424)</f>
        <v/>
      </c>
      <c r="C424" t="str">
        <f>IF(PATIENTS!C424="","",PATIENTS!C424)</f>
        <v/>
      </c>
      <c r="D424" t="str">
        <f>IF(PATIENTS!C424="","",PATIENTS!D424)</f>
        <v/>
      </c>
      <c r="E424" t="str">
        <f>IF(PATIENTS!C424="","",PATIENTS!E424)</f>
        <v/>
      </c>
    </row>
    <row r="425" spans="1:5" x14ac:dyDescent="0.3">
      <c r="A425" t="str">
        <f>IF(PATIENTS!C425="","",PATIENTS!A425)</f>
        <v/>
      </c>
      <c r="B425" t="str">
        <f>IF(PATIENTS!C425="","",PATIENTS!B425)</f>
        <v/>
      </c>
      <c r="C425" t="str">
        <f>IF(PATIENTS!C425="","",PATIENTS!C425)</f>
        <v/>
      </c>
      <c r="D425" t="str">
        <f>IF(PATIENTS!C425="","",PATIENTS!D425)</f>
        <v/>
      </c>
      <c r="E425" t="str">
        <f>IF(PATIENTS!C425="","",PATIENTS!E425)</f>
        <v/>
      </c>
    </row>
    <row r="426" spans="1:5" x14ac:dyDescent="0.3">
      <c r="A426" t="str">
        <f>IF(PATIENTS!C426="","",PATIENTS!A426)</f>
        <v/>
      </c>
      <c r="B426" t="str">
        <f>IF(PATIENTS!C426="","",PATIENTS!B426)</f>
        <v/>
      </c>
      <c r="C426" t="str">
        <f>IF(PATIENTS!C426="","",PATIENTS!C426)</f>
        <v/>
      </c>
      <c r="D426" t="str">
        <f>IF(PATIENTS!C426="","",PATIENTS!D426)</f>
        <v/>
      </c>
      <c r="E426" t="str">
        <f>IF(PATIENTS!C426="","",PATIENTS!E426)</f>
        <v/>
      </c>
    </row>
    <row r="427" spans="1:5" x14ac:dyDescent="0.3">
      <c r="A427" t="str">
        <f>IF(PATIENTS!C427="","",PATIENTS!A427)</f>
        <v/>
      </c>
      <c r="B427" t="str">
        <f>IF(PATIENTS!C427="","",PATIENTS!B427)</f>
        <v/>
      </c>
      <c r="C427" t="str">
        <f>IF(PATIENTS!C427="","",PATIENTS!C427)</f>
        <v/>
      </c>
      <c r="D427" t="str">
        <f>IF(PATIENTS!C427="","",PATIENTS!D427)</f>
        <v/>
      </c>
      <c r="E427" t="str">
        <f>IF(PATIENTS!C427="","",PATIENTS!E427)</f>
        <v/>
      </c>
    </row>
    <row r="428" spans="1:5" x14ac:dyDescent="0.3">
      <c r="A428" t="str">
        <f>IF(PATIENTS!C428="","",PATIENTS!A428)</f>
        <v/>
      </c>
      <c r="B428" t="str">
        <f>IF(PATIENTS!C428="","",PATIENTS!B428)</f>
        <v/>
      </c>
      <c r="C428" t="str">
        <f>IF(PATIENTS!C428="","",PATIENTS!C428)</f>
        <v/>
      </c>
      <c r="D428" t="str">
        <f>IF(PATIENTS!C428="","",PATIENTS!D428)</f>
        <v/>
      </c>
      <c r="E428" t="str">
        <f>IF(PATIENTS!C428="","",PATIENTS!E428)</f>
        <v/>
      </c>
    </row>
    <row r="429" spans="1:5" x14ac:dyDescent="0.3">
      <c r="A429" t="str">
        <f>IF(PATIENTS!C429="","",PATIENTS!A429)</f>
        <v/>
      </c>
      <c r="B429" t="str">
        <f>IF(PATIENTS!C429="","",PATIENTS!B429)</f>
        <v/>
      </c>
      <c r="C429" t="str">
        <f>IF(PATIENTS!C429="","",PATIENTS!C429)</f>
        <v/>
      </c>
      <c r="D429" t="str">
        <f>IF(PATIENTS!C429="","",PATIENTS!D429)</f>
        <v/>
      </c>
      <c r="E429" t="str">
        <f>IF(PATIENTS!C429="","",PATIENTS!E429)</f>
        <v/>
      </c>
    </row>
    <row r="430" spans="1:5" x14ac:dyDescent="0.3">
      <c r="A430" t="str">
        <f>IF(PATIENTS!C430="","",PATIENTS!A430)</f>
        <v/>
      </c>
      <c r="B430" t="str">
        <f>IF(PATIENTS!C430="","",PATIENTS!B430)</f>
        <v/>
      </c>
      <c r="C430" t="str">
        <f>IF(PATIENTS!C430="","",PATIENTS!C430)</f>
        <v/>
      </c>
      <c r="D430" t="str">
        <f>IF(PATIENTS!C430="","",PATIENTS!D430)</f>
        <v/>
      </c>
      <c r="E430" t="str">
        <f>IF(PATIENTS!C430="","",PATIENTS!E430)</f>
        <v/>
      </c>
    </row>
    <row r="431" spans="1:5" x14ac:dyDescent="0.3">
      <c r="A431" t="str">
        <f>IF(PATIENTS!C431="","",PATIENTS!A431)</f>
        <v/>
      </c>
      <c r="B431" t="str">
        <f>IF(PATIENTS!C431="","",PATIENTS!B431)</f>
        <v/>
      </c>
      <c r="C431" t="str">
        <f>IF(PATIENTS!C431="","",PATIENTS!C431)</f>
        <v/>
      </c>
      <c r="D431" t="str">
        <f>IF(PATIENTS!C431="","",PATIENTS!D431)</f>
        <v/>
      </c>
      <c r="E431" t="str">
        <f>IF(PATIENTS!C431="","",PATIENTS!E431)</f>
        <v/>
      </c>
    </row>
    <row r="432" spans="1:5" x14ac:dyDescent="0.3">
      <c r="A432" t="str">
        <f>IF(PATIENTS!C432="","",PATIENTS!A432)</f>
        <v/>
      </c>
      <c r="B432" t="str">
        <f>IF(PATIENTS!C432="","",PATIENTS!B432)</f>
        <v/>
      </c>
      <c r="C432" t="str">
        <f>IF(PATIENTS!C432="","",PATIENTS!C432)</f>
        <v/>
      </c>
      <c r="D432" t="str">
        <f>IF(PATIENTS!C432="","",PATIENTS!D432)</f>
        <v/>
      </c>
      <c r="E432" t="str">
        <f>IF(PATIENTS!C432="","",PATIENTS!E432)</f>
        <v/>
      </c>
    </row>
    <row r="433" spans="1:5" x14ac:dyDescent="0.3">
      <c r="A433" t="str">
        <f>IF(PATIENTS!C433="","",PATIENTS!A433)</f>
        <v/>
      </c>
      <c r="B433" t="str">
        <f>IF(PATIENTS!C433="","",PATIENTS!B433)</f>
        <v/>
      </c>
      <c r="C433" t="str">
        <f>IF(PATIENTS!C433="","",PATIENTS!C433)</f>
        <v/>
      </c>
      <c r="D433" t="str">
        <f>IF(PATIENTS!C433="","",PATIENTS!D433)</f>
        <v/>
      </c>
      <c r="E433" t="str">
        <f>IF(PATIENTS!C433="","",PATIENTS!E433)</f>
        <v/>
      </c>
    </row>
    <row r="434" spans="1:5" x14ac:dyDescent="0.3">
      <c r="A434" t="str">
        <f>IF(PATIENTS!C434="","",PATIENTS!A434)</f>
        <v/>
      </c>
      <c r="B434" t="str">
        <f>IF(PATIENTS!C434="","",PATIENTS!B434)</f>
        <v/>
      </c>
      <c r="C434" t="str">
        <f>IF(PATIENTS!C434="","",PATIENTS!C434)</f>
        <v/>
      </c>
      <c r="D434" t="str">
        <f>IF(PATIENTS!C434="","",PATIENTS!D434)</f>
        <v/>
      </c>
      <c r="E434" t="str">
        <f>IF(PATIENTS!C434="","",PATIENTS!E434)</f>
        <v/>
      </c>
    </row>
    <row r="435" spans="1:5" x14ac:dyDescent="0.3">
      <c r="A435" t="str">
        <f>IF(PATIENTS!C435="","",PATIENTS!A435)</f>
        <v/>
      </c>
      <c r="B435" t="str">
        <f>IF(PATIENTS!C435="","",PATIENTS!B435)</f>
        <v/>
      </c>
      <c r="C435" t="str">
        <f>IF(PATIENTS!C435="","",PATIENTS!C435)</f>
        <v/>
      </c>
      <c r="D435" t="str">
        <f>IF(PATIENTS!C435="","",PATIENTS!D435)</f>
        <v/>
      </c>
      <c r="E435" t="str">
        <f>IF(PATIENTS!C435="","",PATIENTS!E435)</f>
        <v/>
      </c>
    </row>
    <row r="436" spans="1:5" x14ac:dyDescent="0.3">
      <c r="A436" t="str">
        <f>IF(PATIENTS!C436="","",PATIENTS!A436)</f>
        <v/>
      </c>
      <c r="B436" t="str">
        <f>IF(PATIENTS!C436="","",PATIENTS!B436)</f>
        <v/>
      </c>
      <c r="C436" t="str">
        <f>IF(PATIENTS!C436="","",PATIENTS!C436)</f>
        <v/>
      </c>
      <c r="D436" t="str">
        <f>IF(PATIENTS!C436="","",PATIENTS!D436)</f>
        <v/>
      </c>
      <c r="E436" t="str">
        <f>IF(PATIENTS!C436="","",PATIENTS!E436)</f>
        <v/>
      </c>
    </row>
    <row r="437" spans="1:5" x14ac:dyDescent="0.3">
      <c r="A437" t="str">
        <f>IF(PATIENTS!C437="","",PATIENTS!A437)</f>
        <v/>
      </c>
      <c r="B437" t="str">
        <f>IF(PATIENTS!C437="","",PATIENTS!B437)</f>
        <v/>
      </c>
      <c r="C437" t="str">
        <f>IF(PATIENTS!C437="","",PATIENTS!C437)</f>
        <v/>
      </c>
      <c r="D437" t="str">
        <f>IF(PATIENTS!C437="","",PATIENTS!D437)</f>
        <v/>
      </c>
      <c r="E437" t="str">
        <f>IF(PATIENTS!C437="","",PATIENTS!E437)</f>
        <v/>
      </c>
    </row>
    <row r="438" spans="1:5" x14ac:dyDescent="0.3">
      <c r="A438" t="str">
        <f>IF(PATIENTS!C438="","",PATIENTS!A438)</f>
        <v/>
      </c>
      <c r="B438" t="str">
        <f>IF(PATIENTS!C438="","",PATIENTS!B438)</f>
        <v/>
      </c>
      <c r="C438" t="str">
        <f>IF(PATIENTS!C438="","",PATIENTS!C438)</f>
        <v/>
      </c>
      <c r="D438" t="str">
        <f>IF(PATIENTS!C438="","",PATIENTS!D438)</f>
        <v/>
      </c>
      <c r="E438" t="str">
        <f>IF(PATIENTS!C438="","",PATIENTS!E438)</f>
        <v/>
      </c>
    </row>
    <row r="439" spans="1:5" x14ac:dyDescent="0.3">
      <c r="A439" t="str">
        <f>IF(PATIENTS!C439="","",PATIENTS!A439)</f>
        <v/>
      </c>
      <c r="B439" t="str">
        <f>IF(PATIENTS!C439="","",PATIENTS!B439)</f>
        <v/>
      </c>
      <c r="C439" t="str">
        <f>IF(PATIENTS!C439="","",PATIENTS!C439)</f>
        <v/>
      </c>
      <c r="D439" t="str">
        <f>IF(PATIENTS!C439="","",PATIENTS!D439)</f>
        <v/>
      </c>
      <c r="E439" t="str">
        <f>IF(PATIENTS!C439="","",PATIENTS!E439)</f>
        <v/>
      </c>
    </row>
    <row r="440" spans="1:5" x14ac:dyDescent="0.3">
      <c r="A440" t="str">
        <f>IF(PATIENTS!C440="","",PATIENTS!A440)</f>
        <v/>
      </c>
      <c r="B440" t="str">
        <f>IF(PATIENTS!C440="","",PATIENTS!B440)</f>
        <v/>
      </c>
      <c r="C440" t="str">
        <f>IF(PATIENTS!C440="","",PATIENTS!C440)</f>
        <v/>
      </c>
      <c r="D440" t="str">
        <f>IF(PATIENTS!C440="","",PATIENTS!D440)</f>
        <v/>
      </c>
      <c r="E440" t="str">
        <f>IF(PATIENTS!C440="","",PATIENTS!E440)</f>
        <v/>
      </c>
    </row>
    <row r="441" spans="1:5" x14ac:dyDescent="0.3">
      <c r="A441" t="str">
        <f>IF(PATIENTS!C441="","",PATIENTS!A441)</f>
        <v/>
      </c>
      <c r="B441" t="str">
        <f>IF(PATIENTS!C441="","",PATIENTS!B441)</f>
        <v/>
      </c>
      <c r="C441" t="str">
        <f>IF(PATIENTS!C441="","",PATIENTS!C441)</f>
        <v/>
      </c>
      <c r="D441" t="str">
        <f>IF(PATIENTS!C441="","",PATIENTS!D441)</f>
        <v/>
      </c>
      <c r="E441" t="str">
        <f>IF(PATIENTS!C441="","",PATIENTS!E441)</f>
        <v/>
      </c>
    </row>
    <row r="442" spans="1:5" x14ac:dyDescent="0.3">
      <c r="A442" t="str">
        <f>IF(PATIENTS!C442="","",PATIENTS!A442)</f>
        <v/>
      </c>
      <c r="B442" t="str">
        <f>IF(PATIENTS!C442="","",PATIENTS!B442)</f>
        <v/>
      </c>
      <c r="C442" t="str">
        <f>IF(PATIENTS!C442="","",PATIENTS!C442)</f>
        <v/>
      </c>
      <c r="D442" t="str">
        <f>IF(PATIENTS!C442="","",PATIENTS!D442)</f>
        <v/>
      </c>
      <c r="E442" t="str">
        <f>IF(PATIENTS!C442="","",PATIENTS!E442)</f>
        <v/>
      </c>
    </row>
    <row r="443" spans="1:5" x14ac:dyDescent="0.3">
      <c r="A443" t="str">
        <f>IF(PATIENTS!C443="","",PATIENTS!A443)</f>
        <v/>
      </c>
      <c r="B443" t="str">
        <f>IF(PATIENTS!C443="","",PATIENTS!B443)</f>
        <v/>
      </c>
      <c r="C443" t="str">
        <f>IF(PATIENTS!C443="","",PATIENTS!C443)</f>
        <v/>
      </c>
      <c r="D443" t="str">
        <f>IF(PATIENTS!C443="","",PATIENTS!D443)</f>
        <v/>
      </c>
      <c r="E443" t="str">
        <f>IF(PATIENTS!C443="","",PATIENTS!E443)</f>
        <v/>
      </c>
    </row>
    <row r="444" spans="1:5" x14ac:dyDescent="0.3">
      <c r="A444" t="str">
        <f>IF(PATIENTS!C444="","",PATIENTS!A444)</f>
        <v/>
      </c>
      <c r="B444" t="str">
        <f>IF(PATIENTS!C444="","",PATIENTS!B444)</f>
        <v/>
      </c>
      <c r="C444" t="str">
        <f>IF(PATIENTS!C444="","",PATIENTS!C444)</f>
        <v/>
      </c>
      <c r="D444" t="str">
        <f>IF(PATIENTS!C444="","",PATIENTS!D444)</f>
        <v/>
      </c>
      <c r="E444" t="str">
        <f>IF(PATIENTS!C444="","",PATIENTS!E444)</f>
        <v/>
      </c>
    </row>
    <row r="445" spans="1:5" x14ac:dyDescent="0.3">
      <c r="A445" t="str">
        <f>IF(PATIENTS!C445="","",PATIENTS!A445)</f>
        <v/>
      </c>
      <c r="B445" t="str">
        <f>IF(PATIENTS!C445="","",PATIENTS!B445)</f>
        <v/>
      </c>
      <c r="C445" t="str">
        <f>IF(PATIENTS!C445="","",PATIENTS!C445)</f>
        <v/>
      </c>
      <c r="D445" t="str">
        <f>IF(PATIENTS!C445="","",PATIENTS!D445)</f>
        <v/>
      </c>
      <c r="E445" t="str">
        <f>IF(PATIENTS!C445="","",PATIENTS!E445)</f>
        <v/>
      </c>
    </row>
    <row r="446" spans="1:5" x14ac:dyDescent="0.3">
      <c r="A446" t="str">
        <f>IF(PATIENTS!C446="","",PATIENTS!A446)</f>
        <v/>
      </c>
      <c r="B446" t="str">
        <f>IF(PATIENTS!C446="","",PATIENTS!B446)</f>
        <v/>
      </c>
      <c r="C446" t="str">
        <f>IF(PATIENTS!C446="","",PATIENTS!C446)</f>
        <v/>
      </c>
      <c r="D446" t="str">
        <f>IF(PATIENTS!C446="","",PATIENTS!D446)</f>
        <v/>
      </c>
      <c r="E446" t="str">
        <f>IF(PATIENTS!C446="","",PATIENTS!E446)</f>
        <v/>
      </c>
    </row>
    <row r="447" spans="1:5" x14ac:dyDescent="0.3">
      <c r="A447" t="str">
        <f>IF(PATIENTS!C447="","",PATIENTS!A447)</f>
        <v/>
      </c>
      <c r="B447" t="str">
        <f>IF(PATIENTS!C447="","",PATIENTS!B447)</f>
        <v/>
      </c>
      <c r="C447" t="str">
        <f>IF(PATIENTS!C447="","",PATIENTS!C447)</f>
        <v/>
      </c>
      <c r="D447" t="str">
        <f>IF(PATIENTS!C447="","",PATIENTS!D447)</f>
        <v/>
      </c>
      <c r="E447" t="str">
        <f>IF(PATIENTS!C447="","",PATIENTS!E447)</f>
        <v/>
      </c>
    </row>
    <row r="448" spans="1:5" x14ac:dyDescent="0.3">
      <c r="A448" t="str">
        <f>IF(PATIENTS!C448="","",PATIENTS!A448)</f>
        <v/>
      </c>
      <c r="B448" t="str">
        <f>IF(PATIENTS!C448="","",PATIENTS!B448)</f>
        <v/>
      </c>
      <c r="C448" t="str">
        <f>IF(PATIENTS!C448="","",PATIENTS!C448)</f>
        <v/>
      </c>
      <c r="D448" t="str">
        <f>IF(PATIENTS!C448="","",PATIENTS!D448)</f>
        <v/>
      </c>
      <c r="E448" t="str">
        <f>IF(PATIENTS!C448="","",PATIENTS!E448)</f>
        <v/>
      </c>
    </row>
    <row r="449" spans="1:5" x14ac:dyDescent="0.3">
      <c r="A449" t="str">
        <f>IF(PATIENTS!C449="","",PATIENTS!A449)</f>
        <v/>
      </c>
      <c r="B449" t="str">
        <f>IF(PATIENTS!C449="","",PATIENTS!B449)</f>
        <v/>
      </c>
      <c r="C449" t="str">
        <f>IF(PATIENTS!C449="","",PATIENTS!C449)</f>
        <v/>
      </c>
      <c r="D449" t="str">
        <f>IF(PATIENTS!C449="","",PATIENTS!D449)</f>
        <v/>
      </c>
      <c r="E449" t="str">
        <f>IF(PATIENTS!C449="","",PATIENTS!E449)</f>
        <v/>
      </c>
    </row>
    <row r="450" spans="1:5" x14ac:dyDescent="0.3">
      <c r="A450" t="str">
        <f>IF(PATIENTS!C450="","",PATIENTS!A450)</f>
        <v/>
      </c>
      <c r="B450" t="str">
        <f>IF(PATIENTS!C450="","",PATIENTS!B450)</f>
        <v/>
      </c>
      <c r="C450" t="str">
        <f>IF(PATIENTS!C450="","",PATIENTS!C450)</f>
        <v/>
      </c>
      <c r="D450" t="str">
        <f>IF(PATIENTS!C450="","",PATIENTS!D450)</f>
        <v/>
      </c>
      <c r="E450" t="str">
        <f>IF(PATIENTS!C450="","",PATIENTS!E450)</f>
        <v/>
      </c>
    </row>
    <row r="451" spans="1:5" x14ac:dyDescent="0.3">
      <c r="A451" t="str">
        <f>IF(PATIENTS!C451="","",PATIENTS!A451)</f>
        <v/>
      </c>
      <c r="B451" t="str">
        <f>IF(PATIENTS!C451="","",PATIENTS!B451)</f>
        <v/>
      </c>
      <c r="C451" t="str">
        <f>IF(PATIENTS!C451="","",PATIENTS!C451)</f>
        <v/>
      </c>
      <c r="D451" t="str">
        <f>IF(PATIENTS!C451="","",PATIENTS!D451)</f>
        <v/>
      </c>
      <c r="E451" t="str">
        <f>IF(PATIENTS!C451="","",PATIENTS!E451)</f>
        <v/>
      </c>
    </row>
    <row r="452" spans="1:5" x14ac:dyDescent="0.3">
      <c r="A452" t="str">
        <f>IF(PATIENTS!C452="","",PATIENTS!A452)</f>
        <v/>
      </c>
      <c r="B452" t="str">
        <f>IF(PATIENTS!C452="","",PATIENTS!B452)</f>
        <v/>
      </c>
      <c r="C452" t="str">
        <f>IF(PATIENTS!C452="","",PATIENTS!C452)</f>
        <v/>
      </c>
      <c r="D452" t="str">
        <f>IF(PATIENTS!C452="","",PATIENTS!D452)</f>
        <v/>
      </c>
      <c r="E452" t="str">
        <f>IF(PATIENTS!C452="","",PATIENTS!E452)</f>
        <v/>
      </c>
    </row>
    <row r="453" spans="1:5" x14ac:dyDescent="0.3">
      <c r="A453" t="str">
        <f>IF(PATIENTS!C453="","",PATIENTS!A453)</f>
        <v/>
      </c>
      <c r="B453" t="str">
        <f>IF(PATIENTS!C453="","",PATIENTS!B453)</f>
        <v/>
      </c>
      <c r="C453" t="str">
        <f>IF(PATIENTS!C453="","",PATIENTS!C453)</f>
        <v/>
      </c>
      <c r="D453" t="str">
        <f>IF(PATIENTS!C453="","",PATIENTS!D453)</f>
        <v/>
      </c>
      <c r="E453" t="str">
        <f>IF(PATIENTS!C453="","",PATIENTS!E453)</f>
        <v/>
      </c>
    </row>
    <row r="454" spans="1:5" x14ac:dyDescent="0.3">
      <c r="A454" t="str">
        <f>IF(PATIENTS!C454="","",PATIENTS!A454)</f>
        <v/>
      </c>
      <c r="B454" t="str">
        <f>IF(PATIENTS!C454="","",PATIENTS!B454)</f>
        <v/>
      </c>
      <c r="C454" t="str">
        <f>IF(PATIENTS!C454="","",PATIENTS!C454)</f>
        <v/>
      </c>
      <c r="D454" t="str">
        <f>IF(PATIENTS!C454="","",PATIENTS!D454)</f>
        <v/>
      </c>
      <c r="E454" t="str">
        <f>IF(PATIENTS!C454="","",PATIENTS!E454)</f>
        <v/>
      </c>
    </row>
    <row r="455" spans="1:5" x14ac:dyDescent="0.3">
      <c r="A455" t="str">
        <f>IF(PATIENTS!C455="","",PATIENTS!A455)</f>
        <v/>
      </c>
      <c r="B455" t="str">
        <f>IF(PATIENTS!C455="","",PATIENTS!B455)</f>
        <v/>
      </c>
      <c r="C455" t="str">
        <f>IF(PATIENTS!C455="","",PATIENTS!C455)</f>
        <v/>
      </c>
      <c r="D455" t="str">
        <f>IF(PATIENTS!C455="","",PATIENTS!D455)</f>
        <v/>
      </c>
      <c r="E455" t="str">
        <f>IF(PATIENTS!C455="","",PATIENTS!E455)</f>
        <v/>
      </c>
    </row>
    <row r="456" spans="1:5" x14ac:dyDescent="0.3">
      <c r="A456" t="str">
        <f>IF(PATIENTS!C456="","",PATIENTS!A456)</f>
        <v/>
      </c>
      <c r="B456" t="str">
        <f>IF(PATIENTS!C456="","",PATIENTS!B456)</f>
        <v/>
      </c>
      <c r="C456" t="str">
        <f>IF(PATIENTS!C456="","",PATIENTS!C456)</f>
        <v/>
      </c>
      <c r="D456" t="str">
        <f>IF(PATIENTS!C456="","",PATIENTS!D456)</f>
        <v/>
      </c>
      <c r="E456" t="str">
        <f>IF(PATIENTS!C456="","",PATIENTS!E456)</f>
        <v/>
      </c>
    </row>
    <row r="457" spans="1:5" x14ac:dyDescent="0.3">
      <c r="A457" t="str">
        <f>IF(PATIENTS!C457="","",PATIENTS!A457)</f>
        <v/>
      </c>
      <c r="B457" t="str">
        <f>IF(PATIENTS!C457="","",PATIENTS!B457)</f>
        <v/>
      </c>
      <c r="C457" t="str">
        <f>IF(PATIENTS!C457="","",PATIENTS!C457)</f>
        <v/>
      </c>
      <c r="D457" t="str">
        <f>IF(PATIENTS!C457="","",PATIENTS!D457)</f>
        <v/>
      </c>
      <c r="E457" t="str">
        <f>IF(PATIENTS!C457="","",PATIENTS!E457)</f>
        <v/>
      </c>
    </row>
    <row r="458" spans="1:5" x14ac:dyDescent="0.3">
      <c r="A458" t="str">
        <f>IF(PATIENTS!C458="","",PATIENTS!A458)</f>
        <v/>
      </c>
      <c r="B458" t="str">
        <f>IF(PATIENTS!C458="","",PATIENTS!B458)</f>
        <v/>
      </c>
      <c r="C458" t="str">
        <f>IF(PATIENTS!C458="","",PATIENTS!C458)</f>
        <v/>
      </c>
      <c r="D458" t="str">
        <f>IF(PATIENTS!C458="","",PATIENTS!D458)</f>
        <v/>
      </c>
      <c r="E458" t="str">
        <f>IF(PATIENTS!C458="","",PATIENTS!E458)</f>
        <v/>
      </c>
    </row>
    <row r="459" spans="1:5" x14ac:dyDescent="0.3">
      <c r="A459" t="str">
        <f>IF(PATIENTS!C459="","",PATIENTS!A459)</f>
        <v/>
      </c>
      <c r="B459" t="str">
        <f>IF(PATIENTS!C459="","",PATIENTS!B459)</f>
        <v/>
      </c>
      <c r="C459" t="str">
        <f>IF(PATIENTS!C459="","",PATIENTS!C459)</f>
        <v/>
      </c>
      <c r="D459" t="str">
        <f>IF(PATIENTS!C459="","",PATIENTS!D459)</f>
        <v/>
      </c>
      <c r="E459" t="str">
        <f>IF(PATIENTS!C459="","",PATIENTS!E459)</f>
        <v/>
      </c>
    </row>
    <row r="460" spans="1:5" x14ac:dyDescent="0.3">
      <c r="A460" t="str">
        <f>IF(PATIENTS!C460="","",PATIENTS!A460)</f>
        <v/>
      </c>
      <c r="B460" t="str">
        <f>IF(PATIENTS!C460="","",PATIENTS!B460)</f>
        <v/>
      </c>
      <c r="C460" t="str">
        <f>IF(PATIENTS!C460="","",PATIENTS!C460)</f>
        <v/>
      </c>
      <c r="D460" t="str">
        <f>IF(PATIENTS!C460="","",PATIENTS!D460)</f>
        <v/>
      </c>
      <c r="E460" t="str">
        <f>IF(PATIENTS!C460="","",PATIENTS!E460)</f>
        <v/>
      </c>
    </row>
    <row r="461" spans="1:5" x14ac:dyDescent="0.3">
      <c r="A461" t="str">
        <f>IF(PATIENTS!C461="","",PATIENTS!A461)</f>
        <v/>
      </c>
      <c r="B461" t="str">
        <f>IF(PATIENTS!C461="","",PATIENTS!B461)</f>
        <v/>
      </c>
      <c r="C461" t="str">
        <f>IF(PATIENTS!C461="","",PATIENTS!C461)</f>
        <v/>
      </c>
      <c r="D461" t="str">
        <f>IF(PATIENTS!C461="","",PATIENTS!D461)</f>
        <v/>
      </c>
      <c r="E461" t="str">
        <f>IF(PATIENTS!C461="","",PATIENTS!E461)</f>
        <v/>
      </c>
    </row>
    <row r="462" spans="1:5" x14ac:dyDescent="0.3">
      <c r="A462" t="str">
        <f>IF(PATIENTS!C462="","",PATIENTS!A462)</f>
        <v/>
      </c>
      <c r="B462" t="str">
        <f>IF(PATIENTS!C462="","",PATIENTS!B462)</f>
        <v/>
      </c>
      <c r="C462" t="str">
        <f>IF(PATIENTS!C462="","",PATIENTS!C462)</f>
        <v/>
      </c>
      <c r="D462" t="str">
        <f>IF(PATIENTS!C462="","",PATIENTS!D462)</f>
        <v/>
      </c>
      <c r="E462" t="str">
        <f>IF(PATIENTS!C462="","",PATIENTS!E462)</f>
        <v/>
      </c>
    </row>
    <row r="463" spans="1:5" x14ac:dyDescent="0.3">
      <c r="A463" t="str">
        <f>IF(PATIENTS!C463="","",PATIENTS!A463)</f>
        <v/>
      </c>
      <c r="B463" t="str">
        <f>IF(PATIENTS!C463="","",PATIENTS!B463)</f>
        <v/>
      </c>
      <c r="C463" t="str">
        <f>IF(PATIENTS!C463="","",PATIENTS!C463)</f>
        <v/>
      </c>
      <c r="D463" t="str">
        <f>IF(PATIENTS!C463="","",PATIENTS!D463)</f>
        <v/>
      </c>
      <c r="E463" t="str">
        <f>IF(PATIENTS!C463="","",PATIENTS!E463)</f>
        <v/>
      </c>
    </row>
    <row r="464" spans="1:5" x14ac:dyDescent="0.3">
      <c r="A464" t="str">
        <f>IF(PATIENTS!C464="","",PATIENTS!A464)</f>
        <v/>
      </c>
      <c r="B464" t="str">
        <f>IF(PATIENTS!C464="","",PATIENTS!B464)</f>
        <v/>
      </c>
      <c r="C464" t="str">
        <f>IF(PATIENTS!C464="","",PATIENTS!C464)</f>
        <v/>
      </c>
      <c r="D464" t="str">
        <f>IF(PATIENTS!C464="","",PATIENTS!D464)</f>
        <v/>
      </c>
      <c r="E464" t="str">
        <f>IF(PATIENTS!C464="","",PATIENTS!E464)</f>
        <v/>
      </c>
    </row>
    <row r="465" spans="1:5" x14ac:dyDescent="0.3">
      <c r="A465" t="str">
        <f>IF(PATIENTS!C465="","",PATIENTS!A465)</f>
        <v/>
      </c>
      <c r="B465" t="str">
        <f>IF(PATIENTS!C465="","",PATIENTS!B465)</f>
        <v/>
      </c>
      <c r="C465" t="str">
        <f>IF(PATIENTS!C465="","",PATIENTS!C465)</f>
        <v/>
      </c>
      <c r="D465" t="str">
        <f>IF(PATIENTS!C465="","",PATIENTS!D465)</f>
        <v/>
      </c>
      <c r="E465" t="str">
        <f>IF(PATIENTS!C465="","",PATIENTS!E465)</f>
        <v/>
      </c>
    </row>
    <row r="466" spans="1:5" x14ac:dyDescent="0.3">
      <c r="A466" t="str">
        <f>IF(PATIENTS!C466="","",PATIENTS!A466)</f>
        <v/>
      </c>
      <c r="B466" t="str">
        <f>IF(PATIENTS!C466="","",PATIENTS!B466)</f>
        <v/>
      </c>
      <c r="C466" t="str">
        <f>IF(PATIENTS!C466="","",PATIENTS!C466)</f>
        <v/>
      </c>
      <c r="D466" t="str">
        <f>IF(PATIENTS!C466="","",PATIENTS!D466)</f>
        <v/>
      </c>
      <c r="E466" t="str">
        <f>IF(PATIENTS!C466="","",PATIENTS!E466)</f>
        <v/>
      </c>
    </row>
    <row r="467" spans="1:5" x14ac:dyDescent="0.3">
      <c r="A467" t="str">
        <f>IF(PATIENTS!C467="","",PATIENTS!A467)</f>
        <v/>
      </c>
      <c r="B467" t="str">
        <f>IF(PATIENTS!C467="","",PATIENTS!B467)</f>
        <v/>
      </c>
      <c r="C467" t="str">
        <f>IF(PATIENTS!C467="","",PATIENTS!C467)</f>
        <v/>
      </c>
      <c r="D467" t="str">
        <f>IF(PATIENTS!C467="","",PATIENTS!D467)</f>
        <v/>
      </c>
      <c r="E467" t="str">
        <f>IF(PATIENTS!C467="","",PATIENTS!E467)</f>
        <v/>
      </c>
    </row>
    <row r="468" spans="1:5" x14ac:dyDescent="0.3">
      <c r="A468" t="str">
        <f>IF(PATIENTS!C468="","",PATIENTS!A468)</f>
        <v/>
      </c>
      <c r="B468" t="str">
        <f>IF(PATIENTS!C468="","",PATIENTS!B468)</f>
        <v/>
      </c>
      <c r="C468" t="str">
        <f>IF(PATIENTS!C468="","",PATIENTS!C468)</f>
        <v/>
      </c>
      <c r="D468" t="str">
        <f>IF(PATIENTS!C468="","",PATIENTS!D468)</f>
        <v/>
      </c>
      <c r="E468" t="str">
        <f>IF(PATIENTS!C468="","",PATIENTS!E468)</f>
        <v/>
      </c>
    </row>
    <row r="469" spans="1:5" x14ac:dyDescent="0.3">
      <c r="A469" t="str">
        <f>IF(PATIENTS!C469="","",PATIENTS!A469)</f>
        <v/>
      </c>
      <c r="B469" t="str">
        <f>IF(PATIENTS!C469="","",PATIENTS!B469)</f>
        <v/>
      </c>
      <c r="C469" t="str">
        <f>IF(PATIENTS!C469="","",PATIENTS!C469)</f>
        <v/>
      </c>
      <c r="D469" t="str">
        <f>IF(PATIENTS!C469="","",PATIENTS!D469)</f>
        <v/>
      </c>
      <c r="E469" t="str">
        <f>IF(PATIENTS!C469="","",PATIENTS!E469)</f>
        <v/>
      </c>
    </row>
    <row r="470" spans="1:5" x14ac:dyDescent="0.3">
      <c r="A470" t="str">
        <f>IF(PATIENTS!C470="","",PATIENTS!A470)</f>
        <v/>
      </c>
      <c r="B470" t="str">
        <f>IF(PATIENTS!C470="","",PATIENTS!B470)</f>
        <v/>
      </c>
      <c r="C470" t="str">
        <f>IF(PATIENTS!C470="","",PATIENTS!C470)</f>
        <v/>
      </c>
      <c r="D470" t="str">
        <f>IF(PATIENTS!C470="","",PATIENTS!D470)</f>
        <v/>
      </c>
      <c r="E470" t="str">
        <f>IF(PATIENTS!C470="","",PATIENTS!E470)</f>
        <v/>
      </c>
    </row>
    <row r="471" spans="1:5" x14ac:dyDescent="0.3">
      <c r="A471" t="str">
        <f>IF(PATIENTS!C471="","",PATIENTS!A471)</f>
        <v/>
      </c>
      <c r="B471" t="str">
        <f>IF(PATIENTS!C471="","",PATIENTS!B471)</f>
        <v/>
      </c>
      <c r="C471" t="str">
        <f>IF(PATIENTS!C471="","",PATIENTS!C471)</f>
        <v/>
      </c>
      <c r="D471" t="str">
        <f>IF(PATIENTS!C471="","",PATIENTS!D471)</f>
        <v/>
      </c>
      <c r="E471" t="str">
        <f>IF(PATIENTS!C471="","",PATIENTS!E471)</f>
        <v/>
      </c>
    </row>
    <row r="472" spans="1:5" x14ac:dyDescent="0.3">
      <c r="A472" t="str">
        <f>IF(PATIENTS!C472="","",PATIENTS!A472)</f>
        <v/>
      </c>
      <c r="B472" t="str">
        <f>IF(PATIENTS!C472="","",PATIENTS!B472)</f>
        <v/>
      </c>
      <c r="C472" t="str">
        <f>IF(PATIENTS!C472="","",PATIENTS!C472)</f>
        <v/>
      </c>
      <c r="D472" t="str">
        <f>IF(PATIENTS!C472="","",PATIENTS!D472)</f>
        <v/>
      </c>
      <c r="E472" t="str">
        <f>IF(PATIENTS!C472="","",PATIENTS!E472)</f>
        <v/>
      </c>
    </row>
    <row r="473" spans="1:5" x14ac:dyDescent="0.3">
      <c r="A473" t="str">
        <f>IF(PATIENTS!C473="","",PATIENTS!A473)</f>
        <v/>
      </c>
      <c r="B473" t="str">
        <f>IF(PATIENTS!C473="","",PATIENTS!B473)</f>
        <v/>
      </c>
      <c r="C473" t="str">
        <f>IF(PATIENTS!C473="","",PATIENTS!C473)</f>
        <v/>
      </c>
      <c r="D473" t="str">
        <f>IF(PATIENTS!C473="","",PATIENTS!D473)</f>
        <v/>
      </c>
      <c r="E473" t="str">
        <f>IF(PATIENTS!C473="","",PATIENTS!E473)</f>
        <v/>
      </c>
    </row>
    <row r="474" spans="1:5" x14ac:dyDescent="0.3">
      <c r="A474" t="str">
        <f>IF(PATIENTS!C474="","",PATIENTS!A474)</f>
        <v/>
      </c>
      <c r="B474" t="str">
        <f>IF(PATIENTS!C474="","",PATIENTS!B474)</f>
        <v/>
      </c>
      <c r="C474" t="str">
        <f>IF(PATIENTS!C474="","",PATIENTS!C474)</f>
        <v/>
      </c>
      <c r="D474" t="str">
        <f>IF(PATIENTS!C474="","",PATIENTS!D474)</f>
        <v/>
      </c>
      <c r="E474" t="str">
        <f>IF(PATIENTS!C474="","",PATIENTS!E474)</f>
        <v/>
      </c>
    </row>
    <row r="475" spans="1:5" x14ac:dyDescent="0.3">
      <c r="A475" t="str">
        <f>IF(PATIENTS!C475="","",PATIENTS!A475)</f>
        <v/>
      </c>
      <c r="B475" t="str">
        <f>IF(PATIENTS!C475="","",PATIENTS!B475)</f>
        <v/>
      </c>
      <c r="C475" t="str">
        <f>IF(PATIENTS!C475="","",PATIENTS!C475)</f>
        <v/>
      </c>
      <c r="D475" t="str">
        <f>IF(PATIENTS!C475="","",PATIENTS!D475)</f>
        <v/>
      </c>
      <c r="E475" t="str">
        <f>IF(PATIENTS!C475="","",PATIENTS!E475)</f>
        <v/>
      </c>
    </row>
    <row r="476" spans="1:5" x14ac:dyDescent="0.3">
      <c r="A476" t="str">
        <f>IF(PATIENTS!C476="","",PATIENTS!A476)</f>
        <v/>
      </c>
      <c r="B476" t="str">
        <f>IF(PATIENTS!C476="","",PATIENTS!B476)</f>
        <v/>
      </c>
      <c r="C476" t="str">
        <f>IF(PATIENTS!C476="","",PATIENTS!C476)</f>
        <v/>
      </c>
      <c r="D476" t="str">
        <f>IF(PATIENTS!C476="","",PATIENTS!D476)</f>
        <v/>
      </c>
      <c r="E476" t="str">
        <f>IF(PATIENTS!C476="","",PATIENTS!E476)</f>
        <v/>
      </c>
    </row>
    <row r="477" spans="1:5" x14ac:dyDescent="0.3">
      <c r="A477" t="str">
        <f>IF(PATIENTS!C477="","",PATIENTS!A477)</f>
        <v/>
      </c>
      <c r="B477" t="str">
        <f>IF(PATIENTS!C477="","",PATIENTS!B477)</f>
        <v/>
      </c>
      <c r="C477" t="str">
        <f>IF(PATIENTS!C477="","",PATIENTS!C477)</f>
        <v/>
      </c>
      <c r="D477" t="str">
        <f>IF(PATIENTS!C477="","",PATIENTS!D477)</f>
        <v/>
      </c>
      <c r="E477" t="str">
        <f>IF(PATIENTS!C477="","",PATIENTS!E477)</f>
        <v/>
      </c>
    </row>
    <row r="478" spans="1:5" x14ac:dyDescent="0.3">
      <c r="A478" t="str">
        <f>IF(PATIENTS!C478="","",PATIENTS!A478)</f>
        <v/>
      </c>
      <c r="B478" t="str">
        <f>IF(PATIENTS!C478="","",PATIENTS!B478)</f>
        <v/>
      </c>
      <c r="C478" t="str">
        <f>IF(PATIENTS!C478="","",PATIENTS!C478)</f>
        <v/>
      </c>
      <c r="D478" t="str">
        <f>IF(PATIENTS!C478="","",PATIENTS!D478)</f>
        <v/>
      </c>
      <c r="E478" t="str">
        <f>IF(PATIENTS!C478="","",PATIENTS!E478)</f>
        <v/>
      </c>
    </row>
    <row r="479" spans="1:5" x14ac:dyDescent="0.3">
      <c r="A479" t="str">
        <f>IF(PATIENTS!C479="","",PATIENTS!A479)</f>
        <v/>
      </c>
      <c r="B479" t="str">
        <f>IF(PATIENTS!C479="","",PATIENTS!B479)</f>
        <v/>
      </c>
      <c r="C479" t="str">
        <f>IF(PATIENTS!C479="","",PATIENTS!C479)</f>
        <v/>
      </c>
      <c r="D479" t="str">
        <f>IF(PATIENTS!C479="","",PATIENTS!D479)</f>
        <v/>
      </c>
      <c r="E479" t="str">
        <f>IF(PATIENTS!C479="","",PATIENTS!E479)</f>
        <v/>
      </c>
    </row>
    <row r="480" spans="1:5" x14ac:dyDescent="0.3">
      <c r="A480" t="str">
        <f>IF(PATIENTS!C480="","",PATIENTS!A480)</f>
        <v/>
      </c>
      <c r="B480" t="str">
        <f>IF(PATIENTS!C480="","",PATIENTS!B480)</f>
        <v/>
      </c>
      <c r="C480" t="str">
        <f>IF(PATIENTS!C480="","",PATIENTS!C480)</f>
        <v/>
      </c>
      <c r="D480" t="str">
        <f>IF(PATIENTS!C480="","",PATIENTS!D480)</f>
        <v/>
      </c>
      <c r="E480" t="str">
        <f>IF(PATIENTS!C480="","",PATIENTS!E480)</f>
        <v/>
      </c>
    </row>
    <row r="481" spans="1:5" x14ac:dyDescent="0.3">
      <c r="A481" t="str">
        <f>IF(PATIENTS!C481="","",PATIENTS!A481)</f>
        <v/>
      </c>
      <c r="B481" t="str">
        <f>IF(PATIENTS!C481="","",PATIENTS!B481)</f>
        <v/>
      </c>
      <c r="C481" t="str">
        <f>IF(PATIENTS!C481="","",PATIENTS!C481)</f>
        <v/>
      </c>
      <c r="D481" t="str">
        <f>IF(PATIENTS!C481="","",PATIENTS!D481)</f>
        <v/>
      </c>
      <c r="E481" t="str">
        <f>IF(PATIENTS!C481="","",PATIENTS!E481)</f>
        <v/>
      </c>
    </row>
    <row r="482" spans="1:5" x14ac:dyDescent="0.3">
      <c r="A482" t="str">
        <f>IF(PATIENTS!C482="","",PATIENTS!A482)</f>
        <v/>
      </c>
      <c r="B482" t="str">
        <f>IF(PATIENTS!C482="","",PATIENTS!B482)</f>
        <v/>
      </c>
      <c r="C482" t="str">
        <f>IF(PATIENTS!C482="","",PATIENTS!C482)</f>
        <v/>
      </c>
      <c r="D482" t="str">
        <f>IF(PATIENTS!C482="","",PATIENTS!D482)</f>
        <v/>
      </c>
      <c r="E482" t="str">
        <f>IF(PATIENTS!C482="","",PATIENTS!E482)</f>
        <v/>
      </c>
    </row>
    <row r="483" spans="1:5" x14ac:dyDescent="0.3">
      <c r="A483" t="str">
        <f>IF(PATIENTS!C483="","",PATIENTS!A483)</f>
        <v/>
      </c>
      <c r="B483" t="str">
        <f>IF(PATIENTS!C483="","",PATIENTS!B483)</f>
        <v/>
      </c>
      <c r="C483" t="str">
        <f>IF(PATIENTS!C483="","",PATIENTS!C483)</f>
        <v/>
      </c>
      <c r="D483" t="str">
        <f>IF(PATIENTS!C483="","",PATIENTS!D483)</f>
        <v/>
      </c>
      <c r="E483" t="str">
        <f>IF(PATIENTS!C483="","",PATIENTS!E483)</f>
        <v/>
      </c>
    </row>
    <row r="484" spans="1:5" x14ac:dyDescent="0.3">
      <c r="A484" t="str">
        <f>IF(PATIENTS!C484="","",PATIENTS!A484)</f>
        <v/>
      </c>
      <c r="B484" t="str">
        <f>IF(PATIENTS!C484="","",PATIENTS!B484)</f>
        <v/>
      </c>
      <c r="C484" t="str">
        <f>IF(PATIENTS!C484="","",PATIENTS!C484)</f>
        <v/>
      </c>
      <c r="D484" t="str">
        <f>IF(PATIENTS!C484="","",PATIENTS!D484)</f>
        <v/>
      </c>
      <c r="E484" t="str">
        <f>IF(PATIENTS!C484="","",PATIENTS!E484)</f>
        <v/>
      </c>
    </row>
    <row r="485" spans="1:5" x14ac:dyDescent="0.3">
      <c r="A485" t="str">
        <f>IF(PATIENTS!C485="","",PATIENTS!A485)</f>
        <v/>
      </c>
      <c r="B485" t="str">
        <f>IF(PATIENTS!C485="","",PATIENTS!B485)</f>
        <v/>
      </c>
      <c r="C485" t="str">
        <f>IF(PATIENTS!C485="","",PATIENTS!C485)</f>
        <v/>
      </c>
      <c r="D485" t="str">
        <f>IF(PATIENTS!C485="","",PATIENTS!D485)</f>
        <v/>
      </c>
      <c r="E485" t="str">
        <f>IF(PATIENTS!C485="","",PATIENTS!E485)</f>
        <v/>
      </c>
    </row>
    <row r="486" spans="1:5" x14ac:dyDescent="0.3">
      <c r="A486" t="str">
        <f>IF(PATIENTS!C486="","",PATIENTS!A486)</f>
        <v/>
      </c>
      <c r="B486" t="str">
        <f>IF(PATIENTS!C486="","",PATIENTS!B486)</f>
        <v/>
      </c>
      <c r="C486" t="str">
        <f>IF(PATIENTS!C486="","",PATIENTS!C486)</f>
        <v/>
      </c>
      <c r="D486" t="str">
        <f>IF(PATIENTS!C486="","",PATIENTS!D486)</f>
        <v/>
      </c>
      <c r="E486" t="str">
        <f>IF(PATIENTS!C486="","",PATIENTS!E486)</f>
        <v/>
      </c>
    </row>
    <row r="487" spans="1:5" x14ac:dyDescent="0.3">
      <c r="A487" t="str">
        <f>IF(PATIENTS!C487="","",PATIENTS!A487)</f>
        <v/>
      </c>
      <c r="B487" t="str">
        <f>IF(PATIENTS!C487="","",PATIENTS!B487)</f>
        <v/>
      </c>
      <c r="C487" t="str">
        <f>IF(PATIENTS!C487="","",PATIENTS!C487)</f>
        <v/>
      </c>
      <c r="D487" t="str">
        <f>IF(PATIENTS!C487="","",PATIENTS!D487)</f>
        <v/>
      </c>
      <c r="E487" t="str">
        <f>IF(PATIENTS!C487="","",PATIENTS!E487)</f>
        <v/>
      </c>
    </row>
    <row r="488" spans="1:5" x14ac:dyDescent="0.3">
      <c r="A488" t="str">
        <f>IF(PATIENTS!C488="","",PATIENTS!A488)</f>
        <v/>
      </c>
      <c r="B488" t="str">
        <f>IF(PATIENTS!C488="","",PATIENTS!B488)</f>
        <v/>
      </c>
      <c r="C488" t="str">
        <f>IF(PATIENTS!C488="","",PATIENTS!C488)</f>
        <v/>
      </c>
      <c r="D488" t="str">
        <f>IF(PATIENTS!C488="","",PATIENTS!D488)</f>
        <v/>
      </c>
      <c r="E488" t="str">
        <f>IF(PATIENTS!C488="","",PATIENTS!E488)</f>
        <v/>
      </c>
    </row>
    <row r="489" spans="1:5" x14ac:dyDescent="0.3">
      <c r="A489" t="str">
        <f>IF(PATIENTS!C489="","",PATIENTS!A489)</f>
        <v/>
      </c>
      <c r="B489" t="str">
        <f>IF(PATIENTS!C489="","",PATIENTS!B489)</f>
        <v/>
      </c>
      <c r="C489" t="str">
        <f>IF(PATIENTS!C489="","",PATIENTS!C489)</f>
        <v/>
      </c>
      <c r="D489" t="str">
        <f>IF(PATIENTS!C489="","",PATIENTS!D489)</f>
        <v/>
      </c>
      <c r="E489" t="str">
        <f>IF(PATIENTS!C489="","",PATIENTS!E489)</f>
        <v/>
      </c>
    </row>
    <row r="490" spans="1:5" x14ac:dyDescent="0.3">
      <c r="A490" t="str">
        <f>IF(PATIENTS!C490="","",PATIENTS!A490)</f>
        <v/>
      </c>
      <c r="B490" t="str">
        <f>IF(PATIENTS!C490="","",PATIENTS!B490)</f>
        <v/>
      </c>
      <c r="C490" t="str">
        <f>IF(PATIENTS!C490="","",PATIENTS!C490)</f>
        <v/>
      </c>
      <c r="D490" t="str">
        <f>IF(PATIENTS!C490="","",PATIENTS!D490)</f>
        <v/>
      </c>
      <c r="E490" t="str">
        <f>IF(PATIENTS!C490="","",PATIENTS!E490)</f>
        <v/>
      </c>
    </row>
    <row r="491" spans="1:5" x14ac:dyDescent="0.3">
      <c r="A491" t="str">
        <f>IF(PATIENTS!C491="","",PATIENTS!A491)</f>
        <v/>
      </c>
      <c r="B491" t="str">
        <f>IF(PATIENTS!C491="","",PATIENTS!B491)</f>
        <v/>
      </c>
      <c r="C491" t="str">
        <f>IF(PATIENTS!C491="","",PATIENTS!C491)</f>
        <v/>
      </c>
      <c r="D491" t="str">
        <f>IF(PATIENTS!C491="","",PATIENTS!D491)</f>
        <v/>
      </c>
      <c r="E491" t="str">
        <f>IF(PATIENTS!C491="","",PATIENTS!E491)</f>
        <v/>
      </c>
    </row>
    <row r="492" spans="1:5" x14ac:dyDescent="0.3">
      <c r="A492" t="str">
        <f>IF(PATIENTS!C492="","",PATIENTS!A492)</f>
        <v/>
      </c>
      <c r="B492" t="str">
        <f>IF(PATIENTS!C492="","",PATIENTS!B492)</f>
        <v/>
      </c>
      <c r="C492" t="str">
        <f>IF(PATIENTS!C492="","",PATIENTS!C492)</f>
        <v/>
      </c>
      <c r="D492" t="str">
        <f>IF(PATIENTS!C492="","",PATIENTS!D492)</f>
        <v/>
      </c>
      <c r="E492" t="str">
        <f>IF(PATIENTS!C492="","",PATIENTS!E492)</f>
        <v/>
      </c>
    </row>
    <row r="493" spans="1:5" x14ac:dyDescent="0.3">
      <c r="A493" t="str">
        <f>IF(PATIENTS!C493="","",PATIENTS!A493)</f>
        <v/>
      </c>
      <c r="B493" t="str">
        <f>IF(PATIENTS!C493="","",PATIENTS!B493)</f>
        <v/>
      </c>
      <c r="C493" t="str">
        <f>IF(PATIENTS!C493="","",PATIENTS!C493)</f>
        <v/>
      </c>
      <c r="D493" t="str">
        <f>IF(PATIENTS!C493="","",PATIENTS!D493)</f>
        <v/>
      </c>
      <c r="E493" t="str">
        <f>IF(PATIENTS!C493="","",PATIENTS!E493)</f>
        <v/>
      </c>
    </row>
    <row r="494" spans="1:5" x14ac:dyDescent="0.3">
      <c r="A494" t="str">
        <f>IF(PATIENTS!C494="","",PATIENTS!A494)</f>
        <v/>
      </c>
      <c r="B494" t="str">
        <f>IF(PATIENTS!C494="","",PATIENTS!B494)</f>
        <v/>
      </c>
      <c r="C494" t="str">
        <f>IF(PATIENTS!C494="","",PATIENTS!C494)</f>
        <v/>
      </c>
      <c r="D494" t="str">
        <f>IF(PATIENTS!C494="","",PATIENTS!D494)</f>
        <v/>
      </c>
      <c r="E494" t="str">
        <f>IF(PATIENTS!C494="","",PATIENTS!E494)</f>
        <v/>
      </c>
    </row>
    <row r="495" spans="1:5" x14ac:dyDescent="0.3">
      <c r="A495" t="str">
        <f>IF(PATIENTS!C495="","",PATIENTS!A495)</f>
        <v/>
      </c>
      <c r="B495" t="str">
        <f>IF(PATIENTS!C495="","",PATIENTS!B495)</f>
        <v/>
      </c>
      <c r="C495" t="str">
        <f>IF(PATIENTS!C495="","",PATIENTS!C495)</f>
        <v/>
      </c>
      <c r="D495" t="str">
        <f>IF(PATIENTS!C495="","",PATIENTS!D495)</f>
        <v/>
      </c>
      <c r="E495" t="str">
        <f>IF(PATIENTS!C495="","",PATIENTS!E495)</f>
        <v/>
      </c>
    </row>
    <row r="496" spans="1:5" x14ac:dyDescent="0.3">
      <c r="A496" t="str">
        <f>IF(PATIENTS!C496="","",PATIENTS!A496)</f>
        <v/>
      </c>
      <c r="B496" t="str">
        <f>IF(PATIENTS!C496="","",PATIENTS!B496)</f>
        <v/>
      </c>
      <c r="C496" t="str">
        <f>IF(PATIENTS!C496="","",PATIENTS!C496)</f>
        <v/>
      </c>
      <c r="D496" t="str">
        <f>IF(PATIENTS!C496="","",PATIENTS!D496)</f>
        <v/>
      </c>
      <c r="E496" t="str">
        <f>IF(PATIENTS!C496="","",PATIENTS!E496)</f>
        <v/>
      </c>
    </row>
    <row r="497" spans="1:5" x14ac:dyDescent="0.3">
      <c r="A497" t="str">
        <f>IF(PATIENTS!C497="","",PATIENTS!A497)</f>
        <v/>
      </c>
      <c r="B497" t="str">
        <f>IF(PATIENTS!C497="","",PATIENTS!B497)</f>
        <v/>
      </c>
      <c r="C497" t="str">
        <f>IF(PATIENTS!C497="","",PATIENTS!C497)</f>
        <v/>
      </c>
      <c r="D497" t="str">
        <f>IF(PATIENTS!C497="","",PATIENTS!D497)</f>
        <v/>
      </c>
      <c r="E497" t="str">
        <f>IF(PATIENTS!C497="","",PATIENTS!E497)</f>
        <v/>
      </c>
    </row>
    <row r="498" spans="1:5" x14ac:dyDescent="0.3">
      <c r="A498" t="str">
        <f>IF(PATIENTS!C498="","",PATIENTS!A498)</f>
        <v/>
      </c>
      <c r="B498" t="str">
        <f>IF(PATIENTS!C498="","",PATIENTS!B498)</f>
        <v/>
      </c>
      <c r="C498" t="str">
        <f>IF(PATIENTS!C498="","",PATIENTS!C498)</f>
        <v/>
      </c>
      <c r="D498" t="str">
        <f>IF(PATIENTS!C498="","",PATIENTS!D498)</f>
        <v/>
      </c>
      <c r="E498" t="str">
        <f>IF(PATIENTS!C498="","",PATIENTS!E498)</f>
        <v/>
      </c>
    </row>
    <row r="499" spans="1:5" x14ac:dyDescent="0.3">
      <c r="A499" t="str">
        <f>IF(PATIENTS!C499="","",PATIENTS!A499)</f>
        <v/>
      </c>
      <c r="B499" t="str">
        <f>IF(PATIENTS!C499="","",PATIENTS!B499)</f>
        <v/>
      </c>
      <c r="C499" t="str">
        <f>IF(PATIENTS!C499="","",PATIENTS!C499)</f>
        <v/>
      </c>
      <c r="D499" t="str">
        <f>IF(PATIENTS!C499="","",PATIENTS!D499)</f>
        <v/>
      </c>
      <c r="E499" t="str">
        <f>IF(PATIENTS!C499="","",PATIENTS!E499)</f>
        <v/>
      </c>
    </row>
    <row r="500" spans="1:5" x14ac:dyDescent="0.3">
      <c r="A500" t="str">
        <f>IF(PATIENTS!C500="","",PATIENTS!A500)</f>
        <v/>
      </c>
      <c r="B500" t="str">
        <f>IF(PATIENTS!C500="","",PATIENTS!B500)</f>
        <v/>
      </c>
      <c r="C500" t="str">
        <f>IF(PATIENTS!C500="","",PATIENTS!C500)</f>
        <v/>
      </c>
      <c r="D500" t="str">
        <f>IF(PATIENTS!C500="","",PATIENTS!D500)</f>
        <v/>
      </c>
      <c r="E500" t="str">
        <f>IF(PATIENTS!C500="","",PATIENTS!E500)</f>
        <v/>
      </c>
    </row>
    <row r="501" spans="1:5" x14ac:dyDescent="0.3">
      <c r="A501" t="str">
        <f>IF(PATIENTS!C501="","",PATIENTS!A501)</f>
        <v/>
      </c>
      <c r="B501" t="str">
        <f>IF(PATIENTS!C501="","",PATIENTS!B501)</f>
        <v/>
      </c>
      <c r="C501" t="str">
        <f>IF(PATIENTS!C501="","",PATIENTS!C501)</f>
        <v/>
      </c>
      <c r="D501" t="str">
        <f>IF(PATIENTS!C501="","",PATIENTS!D501)</f>
        <v/>
      </c>
      <c r="E501" t="str">
        <f>IF(PATIENTS!C501="","",PATIENTS!E501)</f>
        <v/>
      </c>
    </row>
    <row r="502" spans="1:5" x14ac:dyDescent="0.3">
      <c r="A502" t="str">
        <f>IF(PATIENTS!C502="","",PATIENTS!A502)</f>
        <v/>
      </c>
      <c r="B502" t="str">
        <f>IF(PATIENTS!C502="","",PATIENTS!B502)</f>
        <v/>
      </c>
      <c r="C502" t="str">
        <f>IF(PATIENTS!C502="","",PATIENTS!C502)</f>
        <v/>
      </c>
      <c r="D502" t="str">
        <f>IF(PATIENTS!C502="","",PATIENTS!D502)</f>
        <v/>
      </c>
      <c r="E502" t="str">
        <f>IF(PATIENTS!C502="","",PATIENTS!E502)</f>
        <v/>
      </c>
    </row>
    <row r="503" spans="1:5" x14ac:dyDescent="0.3">
      <c r="A503" t="str">
        <f>IF(PATIENTS!C503="","",PATIENTS!A503)</f>
        <v/>
      </c>
      <c r="B503" t="str">
        <f>IF(PATIENTS!C503="","",PATIENTS!B503)</f>
        <v/>
      </c>
      <c r="C503" t="str">
        <f>IF(PATIENTS!C503="","",PATIENTS!C503)</f>
        <v/>
      </c>
      <c r="D503" t="str">
        <f>IF(PATIENTS!C503="","",PATIENTS!D503)</f>
        <v/>
      </c>
      <c r="E503" t="str">
        <f>IF(PATIENTS!C503="","",PATIENTS!E503)</f>
        <v/>
      </c>
    </row>
    <row r="504" spans="1:5" x14ac:dyDescent="0.3">
      <c r="A504" t="str">
        <f>IF(PATIENTS!C504="","",PATIENTS!A504)</f>
        <v/>
      </c>
      <c r="B504" t="str">
        <f>IF(PATIENTS!C504="","",PATIENTS!B504)</f>
        <v/>
      </c>
      <c r="C504" t="str">
        <f>IF(PATIENTS!C504="","",PATIENTS!C504)</f>
        <v/>
      </c>
      <c r="D504" t="str">
        <f>IF(PATIENTS!C504="","",PATIENTS!D504)</f>
        <v/>
      </c>
      <c r="E504" t="str">
        <f>IF(PATIENTS!C504="","",PATIENTS!E504)</f>
        <v/>
      </c>
    </row>
    <row r="505" spans="1:5" x14ac:dyDescent="0.3">
      <c r="A505" t="str">
        <f>IF(PATIENTS!C505="","",PATIENTS!A505)</f>
        <v/>
      </c>
      <c r="B505" t="str">
        <f>IF(PATIENTS!C505="","",PATIENTS!B505)</f>
        <v/>
      </c>
      <c r="C505" t="str">
        <f>IF(PATIENTS!C505="","",PATIENTS!C505)</f>
        <v/>
      </c>
      <c r="D505" t="str">
        <f>IF(PATIENTS!C505="","",PATIENTS!D505)</f>
        <v/>
      </c>
      <c r="E505" t="str">
        <f>IF(PATIENTS!C505="","",PATIENTS!E505)</f>
        <v/>
      </c>
    </row>
    <row r="506" spans="1:5" x14ac:dyDescent="0.3">
      <c r="A506" t="str">
        <f>IF(PATIENTS!C506="","",PATIENTS!A506)</f>
        <v/>
      </c>
      <c r="B506" t="str">
        <f>IF(PATIENTS!C506="","",PATIENTS!B506)</f>
        <v/>
      </c>
      <c r="C506" t="str">
        <f>IF(PATIENTS!C506="","",PATIENTS!C506)</f>
        <v/>
      </c>
      <c r="D506" t="str">
        <f>IF(PATIENTS!C506="","",PATIENTS!D506)</f>
        <v/>
      </c>
      <c r="E506" t="str">
        <f>IF(PATIENTS!C506="","",PATIENTS!E506)</f>
        <v/>
      </c>
    </row>
    <row r="507" spans="1:5" x14ac:dyDescent="0.3">
      <c r="A507" t="str">
        <f>IF(PATIENTS!C507="","",PATIENTS!A507)</f>
        <v/>
      </c>
      <c r="B507" t="str">
        <f>IF(PATIENTS!C507="","",PATIENTS!B507)</f>
        <v/>
      </c>
      <c r="C507" t="str">
        <f>IF(PATIENTS!C507="","",PATIENTS!C507)</f>
        <v/>
      </c>
      <c r="D507" t="str">
        <f>IF(PATIENTS!C507="","",PATIENTS!D507)</f>
        <v/>
      </c>
      <c r="E507" t="str">
        <f>IF(PATIENTS!C507="","",PATIENTS!E507)</f>
        <v/>
      </c>
    </row>
    <row r="508" spans="1:5" x14ac:dyDescent="0.3">
      <c r="A508" t="str">
        <f>IF(PATIENTS!C508="","",PATIENTS!A508)</f>
        <v/>
      </c>
      <c r="B508" t="str">
        <f>IF(PATIENTS!C508="","",PATIENTS!B508)</f>
        <v/>
      </c>
      <c r="C508" t="str">
        <f>IF(PATIENTS!C508="","",PATIENTS!C508)</f>
        <v/>
      </c>
      <c r="D508" t="str">
        <f>IF(PATIENTS!C508="","",PATIENTS!D508)</f>
        <v/>
      </c>
      <c r="E508" t="str">
        <f>IF(PATIENTS!C508="","",PATIENTS!E508)</f>
        <v/>
      </c>
    </row>
    <row r="509" spans="1:5" x14ac:dyDescent="0.3">
      <c r="A509" t="str">
        <f>IF(PATIENTS!C509="","",PATIENTS!A509)</f>
        <v/>
      </c>
      <c r="B509" t="str">
        <f>IF(PATIENTS!C509="","",PATIENTS!B509)</f>
        <v/>
      </c>
      <c r="C509" t="str">
        <f>IF(PATIENTS!C509="","",PATIENTS!C509)</f>
        <v/>
      </c>
      <c r="D509" t="str">
        <f>IF(PATIENTS!C509="","",PATIENTS!D509)</f>
        <v/>
      </c>
      <c r="E509" t="str">
        <f>IF(PATIENTS!C509="","",PATIENTS!E509)</f>
        <v/>
      </c>
    </row>
    <row r="510" spans="1:5" x14ac:dyDescent="0.3">
      <c r="A510" t="str">
        <f>IF(PATIENTS!C510="","",PATIENTS!A510)</f>
        <v/>
      </c>
      <c r="B510" t="str">
        <f>IF(PATIENTS!C510="","",PATIENTS!B510)</f>
        <v/>
      </c>
      <c r="C510" t="str">
        <f>IF(PATIENTS!C510="","",PATIENTS!C510)</f>
        <v/>
      </c>
      <c r="D510" t="str">
        <f>IF(PATIENTS!C510="","",PATIENTS!D510)</f>
        <v/>
      </c>
      <c r="E510" t="str">
        <f>IF(PATIENTS!C510="","",PATIENTS!E510)</f>
        <v/>
      </c>
    </row>
    <row r="511" spans="1:5" x14ac:dyDescent="0.3">
      <c r="A511" t="str">
        <f>IF(PATIENTS!C511="","",PATIENTS!A511)</f>
        <v/>
      </c>
      <c r="B511" t="str">
        <f>IF(PATIENTS!C511="","",PATIENTS!B511)</f>
        <v/>
      </c>
      <c r="C511" t="str">
        <f>IF(PATIENTS!C511="","",PATIENTS!C511)</f>
        <v/>
      </c>
      <c r="D511" t="str">
        <f>IF(PATIENTS!C511="","",PATIENTS!D511)</f>
        <v/>
      </c>
      <c r="E511" t="str">
        <f>IF(PATIENTS!C511="","",PATIENTS!E511)</f>
        <v/>
      </c>
    </row>
    <row r="512" spans="1:5" x14ac:dyDescent="0.3">
      <c r="A512" t="str">
        <f>IF(PATIENTS!C512="","",PATIENTS!A512)</f>
        <v/>
      </c>
      <c r="B512" t="str">
        <f>IF(PATIENTS!C512="","",PATIENTS!B512)</f>
        <v/>
      </c>
      <c r="C512" t="str">
        <f>IF(PATIENTS!C512="","",PATIENTS!C512)</f>
        <v/>
      </c>
      <c r="D512" t="str">
        <f>IF(PATIENTS!C512="","",PATIENTS!D512)</f>
        <v/>
      </c>
      <c r="E512" t="str">
        <f>IF(PATIENTS!C512="","",PATIENTS!E512)</f>
        <v/>
      </c>
    </row>
    <row r="513" spans="1:5" x14ac:dyDescent="0.3">
      <c r="A513" t="str">
        <f>IF(PATIENTS!C513="","",PATIENTS!A513)</f>
        <v/>
      </c>
      <c r="B513" t="str">
        <f>IF(PATIENTS!C513="","",PATIENTS!B513)</f>
        <v/>
      </c>
      <c r="C513" t="str">
        <f>IF(PATIENTS!C513="","",PATIENTS!C513)</f>
        <v/>
      </c>
      <c r="D513" t="str">
        <f>IF(PATIENTS!C513="","",PATIENTS!D513)</f>
        <v/>
      </c>
      <c r="E513" t="str">
        <f>IF(PATIENTS!C513="","",PATIENTS!E513)</f>
        <v/>
      </c>
    </row>
    <row r="514" spans="1:5" x14ac:dyDescent="0.3">
      <c r="A514" t="str">
        <f>IF(PATIENTS!C514="","",PATIENTS!A514)</f>
        <v/>
      </c>
      <c r="B514" t="str">
        <f>IF(PATIENTS!C514="","",PATIENTS!B514)</f>
        <v/>
      </c>
      <c r="C514" t="str">
        <f>IF(PATIENTS!C514="","",PATIENTS!C514)</f>
        <v/>
      </c>
      <c r="D514" t="str">
        <f>IF(PATIENTS!C514="","",PATIENTS!D514)</f>
        <v/>
      </c>
      <c r="E514" t="str">
        <f>IF(PATIENTS!C514="","",PATIENTS!E514)</f>
        <v/>
      </c>
    </row>
    <row r="515" spans="1:5" x14ac:dyDescent="0.3">
      <c r="A515" t="str">
        <f>IF(PATIENTS!C515="","",PATIENTS!A515)</f>
        <v/>
      </c>
      <c r="B515" t="str">
        <f>IF(PATIENTS!C515="","",PATIENTS!B515)</f>
        <v/>
      </c>
      <c r="C515" t="str">
        <f>IF(PATIENTS!C515="","",PATIENTS!C515)</f>
        <v/>
      </c>
      <c r="D515" t="str">
        <f>IF(PATIENTS!C515="","",PATIENTS!D515)</f>
        <v/>
      </c>
      <c r="E515" t="str">
        <f>IF(PATIENTS!C515="","",PATIENTS!E515)</f>
        <v/>
      </c>
    </row>
    <row r="516" spans="1:5" x14ac:dyDescent="0.3">
      <c r="A516" t="str">
        <f>IF(PATIENTS!C516="","",PATIENTS!A516)</f>
        <v/>
      </c>
      <c r="B516" t="str">
        <f>IF(PATIENTS!C516="","",PATIENTS!B516)</f>
        <v/>
      </c>
      <c r="C516" t="str">
        <f>IF(PATIENTS!C516="","",PATIENTS!C516)</f>
        <v/>
      </c>
      <c r="D516" t="str">
        <f>IF(PATIENTS!C516="","",PATIENTS!D516)</f>
        <v/>
      </c>
      <c r="E516" t="str">
        <f>IF(PATIENTS!C516="","",PATIENTS!E516)</f>
        <v/>
      </c>
    </row>
    <row r="517" spans="1:5" x14ac:dyDescent="0.3">
      <c r="A517" t="str">
        <f>IF(PATIENTS!C517="","",PATIENTS!A517)</f>
        <v/>
      </c>
      <c r="B517" t="str">
        <f>IF(PATIENTS!C517="","",PATIENTS!B517)</f>
        <v/>
      </c>
      <c r="C517" t="str">
        <f>IF(PATIENTS!C517="","",PATIENTS!C517)</f>
        <v/>
      </c>
      <c r="D517" t="str">
        <f>IF(PATIENTS!C517="","",PATIENTS!D517)</f>
        <v/>
      </c>
      <c r="E517" t="str">
        <f>IF(PATIENTS!C517="","",PATIENTS!E517)</f>
        <v/>
      </c>
    </row>
    <row r="518" spans="1:5" x14ac:dyDescent="0.3">
      <c r="A518" t="str">
        <f>IF(PATIENTS!C518="","",PATIENTS!A518)</f>
        <v/>
      </c>
      <c r="B518" t="str">
        <f>IF(PATIENTS!C518="","",PATIENTS!B518)</f>
        <v/>
      </c>
      <c r="C518" t="str">
        <f>IF(PATIENTS!C518="","",PATIENTS!C518)</f>
        <v/>
      </c>
      <c r="D518" t="str">
        <f>IF(PATIENTS!C518="","",PATIENTS!D518)</f>
        <v/>
      </c>
      <c r="E518" t="str">
        <f>IF(PATIENTS!C518="","",PATIENTS!E518)</f>
        <v/>
      </c>
    </row>
    <row r="519" spans="1:5" x14ac:dyDescent="0.3">
      <c r="A519" t="str">
        <f>IF(PATIENTS!C519="","",PATIENTS!A519)</f>
        <v/>
      </c>
      <c r="B519" t="str">
        <f>IF(PATIENTS!C519="","",PATIENTS!B519)</f>
        <v/>
      </c>
      <c r="C519" t="str">
        <f>IF(PATIENTS!C519="","",PATIENTS!C519)</f>
        <v/>
      </c>
      <c r="D519" t="str">
        <f>IF(PATIENTS!C519="","",PATIENTS!D519)</f>
        <v/>
      </c>
      <c r="E519" t="str">
        <f>IF(PATIENTS!C519="","",PATIENTS!E519)</f>
        <v/>
      </c>
    </row>
    <row r="520" spans="1:5" x14ac:dyDescent="0.3">
      <c r="A520" t="str">
        <f>IF(PATIENTS!C520="","",PATIENTS!A520)</f>
        <v/>
      </c>
      <c r="B520" t="str">
        <f>IF(PATIENTS!C520="","",PATIENTS!B520)</f>
        <v/>
      </c>
      <c r="C520" t="str">
        <f>IF(PATIENTS!C520="","",PATIENTS!C520)</f>
        <v/>
      </c>
      <c r="D520" t="str">
        <f>IF(PATIENTS!C520="","",PATIENTS!D520)</f>
        <v/>
      </c>
      <c r="E520" t="str">
        <f>IF(PATIENTS!C520="","",PATIENTS!E520)</f>
        <v/>
      </c>
    </row>
    <row r="521" spans="1:5" x14ac:dyDescent="0.3">
      <c r="A521" t="str">
        <f>IF(PATIENTS!C521="","",PATIENTS!A521)</f>
        <v/>
      </c>
      <c r="B521" t="str">
        <f>IF(PATIENTS!C521="","",PATIENTS!B521)</f>
        <v/>
      </c>
      <c r="C521" t="str">
        <f>IF(PATIENTS!C521="","",PATIENTS!C521)</f>
        <v/>
      </c>
      <c r="D521" t="str">
        <f>IF(PATIENTS!C521="","",PATIENTS!D521)</f>
        <v/>
      </c>
      <c r="E521" t="str">
        <f>IF(PATIENTS!C521="","",PATIENTS!E521)</f>
        <v/>
      </c>
    </row>
    <row r="522" spans="1:5" x14ac:dyDescent="0.3">
      <c r="A522" t="str">
        <f>IF(PATIENTS!C522="","",PATIENTS!A522)</f>
        <v/>
      </c>
      <c r="B522" t="str">
        <f>IF(PATIENTS!C522="","",PATIENTS!B522)</f>
        <v/>
      </c>
      <c r="C522" t="str">
        <f>IF(PATIENTS!C522="","",PATIENTS!C522)</f>
        <v/>
      </c>
      <c r="D522" t="str">
        <f>IF(PATIENTS!C522="","",PATIENTS!D522)</f>
        <v/>
      </c>
      <c r="E522" t="str">
        <f>IF(PATIENTS!C522="","",PATIENTS!E522)</f>
        <v/>
      </c>
    </row>
    <row r="523" spans="1:5" x14ac:dyDescent="0.3">
      <c r="A523" t="str">
        <f>IF(PATIENTS!C523="","",PATIENTS!A523)</f>
        <v/>
      </c>
      <c r="B523" t="str">
        <f>IF(PATIENTS!C523="","",PATIENTS!B523)</f>
        <v/>
      </c>
      <c r="C523" t="str">
        <f>IF(PATIENTS!C523="","",PATIENTS!C523)</f>
        <v/>
      </c>
      <c r="D523" t="str">
        <f>IF(PATIENTS!C523="","",PATIENTS!D523)</f>
        <v/>
      </c>
      <c r="E523" t="str">
        <f>IF(PATIENTS!C523="","",PATIENTS!E523)</f>
        <v/>
      </c>
    </row>
    <row r="524" spans="1:5" x14ac:dyDescent="0.3">
      <c r="A524" t="str">
        <f>IF(PATIENTS!C524="","",PATIENTS!A524)</f>
        <v/>
      </c>
      <c r="B524" t="str">
        <f>IF(PATIENTS!C524="","",PATIENTS!B524)</f>
        <v/>
      </c>
      <c r="C524" t="str">
        <f>IF(PATIENTS!C524="","",PATIENTS!C524)</f>
        <v/>
      </c>
      <c r="D524" t="str">
        <f>IF(PATIENTS!C524="","",PATIENTS!D524)</f>
        <v/>
      </c>
      <c r="E524" t="str">
        <f>IF(PATIENTS!C524="","",PATIENTS!E524)</f>
        <v/>
      </c>
    </row>
    <row r="525" spans="1:5" x14ac:dyDescent="0.3">
      <c r="A525" t="str">
        <f>IF(PATIENTS!C525="","",PATIENTS!A525)</f>
        <v/>
      </c>
      <c r="B525" t="str">
        <f>IF(PATIENTS!C525="","",PATIENTS!B525)</f>
        <v/>
      </c>
      <c r="C525" t="str">
        <f>IF(PATIENTS!C525="","",PATIENTS!C525)</f>
        <v/>
      </c>
      <c r="D525" t="str">
        <f>IF(PATIENTS!C525="","",PATIENTS!D525)</f>
        <v/>
      </c>
      <c r="E525" t="str">
        <f>IF(PATIENTS!C525="","",PATIENTS!E525)</f>
        <v/>
      </c>
    </row>
    <row r="526" spans="1:5" x14ac:dyDescent="0.3">
      <c r="A526" t="str">
        <f>IF(PATIENTS!C526="","",PATIENTS!A526)</f>
        <v/>
      </c>
      <c r="B526" t="str">
        <f>IF(PATIENTS!C526="","",PATIENTS!B526)</f>
        <v/>
      </c>
      <c r="C526" t="str">
        <f>IF(PATIENTS!C526="","",PATIENTS!C526)</f>
        <v/>
      </c>
      <c r="D526" t="str">
        <f>IF(PATIENTS!C526="","",PATIENTS!D526)</f>
        <v/>
      </c>
      <c r="E526" t="str">
        <f>IF(PATIENTS!C526="","",PATIENTS!E526)</f>
        <v/>
      </c>
    </row>
    <row r="527" spans="1:5" x14ac:dyDescent="0.3">
      <c r="A527" t="str">
        <f>IF(PATIENTS!C527="","",PATIENTS!A527)</f>
        <v/>
      </c>
      <c r="B527" t="str">
        <f>IF(PATIENTS!C527="","",PATIENTS!B527)</f>
        <v/>
      </c>
      <c r="C527" t="str">
        <f>IF(PATIENTS!C527="","",PATIENTS!C527)</f>
        <v/>
      </c>
      <c r="D527" t="str">
        <f>IF(PATIENTS!C527="","",PATIENTS!D527)</f>
        <v/>
      </c>
      <c r="E527" t="str">
        <f>IF(PATIENTS!C527="","",PATIENTS!E527)</f>
        <v/>
      </c>
    </row>
    <row r="528" spans="1:5" x14ac:dyDescent="0.3">
      <c r="A528" t="str">
        <f>IF(PATIENTS!C528="","",PATIENTS!A528)</f>
        <v/>
      </c>
      <c r="B528" t="str">
        <f>IF(PATIENTS!C528="","",PATIENTS!B528)</f>
        <v/>
      </c>
      <c r="C528" t="str">
        <f>IF(PATIENTS!C528="","",PATIENTS!C528)</f>
        <v/>
      </c>
      <c r="D528" t="str">
        <f>IF(PATIENTS!C528="","",PATIENTS!D528)</f>
        <v/>
      </c>
      <c r="E528" t="str">
        <f>IF(PATIENTS!C528="","",PATIENTS!E528)</f>
        <v/>
      </c>
    </row>
    <row r="529" spans="1:5" x14ac:dyDescent="0.3">
      <c r="A529" t="str">
        <f>IF(PATIENTS!C529="","",PATIENTS!A529)</f>
        <v/>
      </c>
      <c r="B529" t="str">
        <f>IF(PATIENTS!C529="","",PATIENTS!B529)</f>
        <v/>
      </c>
      <c r="C529" t="str">
        <f>IF(PATIENTS!C529="","",PATIENTS!C529)</f>
        <v/>
      </c>
      <c r="D529" t="str">
        <f>IF(PATIENTS!C529="","",PATIENTS!D529)</f>
        <v/>
      </c>
      <c r="E529" t="str">
        <f>IF(PATIENTS!C529="","",PATIENTS!E529)</f>
        <v/>
      </c>
    </row>
    <row r="530" spans="1:5" x14ac:dyDescent="0.3">
      <c r="A530" t="str">
        <f>IF(PATIENTS!C530="","",PATIENTS!A530)</f>
        <v/>
      </c>
      <c r="B530" t="str">
        <f>IF(PATIENTS!C530="","",PATIENTS!B530)</f>
        <v/>
      </c>
      <c r="C530" t="str">
        <f>IF(PATIENTS!C530="","",PATIENTS!C530)</f>
        <v/>
      </c>
      <c r="D530" t="str">
        <f>IF(PATIENTS!C530="","",PATIENTS!D530)</f>
        <v/>
      </c>
      <c r="E530" t="str">
        <f>IF(PATIENTS!C530="","",PATIENTS!E530)</f>
        <v/>
      </c>
    </row>
    <row r="531" spans="1:5" x14ac:dyDescent="0.3">
      <c r="A531" t="str">
        <f>IF(PATIENTS!C531="","",PATIENTS!A531)</f>
        <v/>
      </c>
      <c r="B531" t="str">
        <f>IF(PATIENTS!C531="","",PATIENTS!B531)</f>
        <v/>
      </c>
      <c r="C531" t="str">
        <f>IF(PATIENTS!C531="","",PATIENTS!C531)</f>
        <v/>
      </c>
      <c r="D531" t="str">
        <f>IF(PATIENTS!C531="","",PATIENTS!D531)</f>
        <v/>
      </c>
      <c r="E531" t="str">
        <f>IF(PATIENTS!C531="","",PATIENTS!E531)</f>
        <v/>
      </c>
    </row>
    <row r="532" spans="1:5" x14ac:dyDescent="0.3">
      <c r="A532" t="str">
        <f>IF(PATIENTS!C532="","",PATIENTS!A532)</f>
        <v/>
      </c>
      <c r="B532" t="str">
        <f>IF(PATIENTS!C532="","",PATIENTS!B532)</f>
        <v/>
      </c>
      <c r="C532" t="str">
        <f>IF(PATIENTS!C532="","",PATIENTS!C532)</f>
        <v/>
      </c>
      <c r="D532" t="str">
        <f>IF(PATIENTS!C532="","",PATIENTS!D532)</f>
        <v/>
      </c>
      <c r="E532" t="str">
        <f>IF(PATIENTS!C532="","",PATIENTS!E532)</f>
        <v/>
      </c>
    </row>
    <row r="533" spans="1:5" x14ac:dyDescent="0.3">
      <c r="A533" t="str">
        <f>IF(PATIENTS!C533="","",PATIENTS!A533)</f>
        <v/>
      </c>
      <c r="B533" t="str">
        <f>IF(PATIENTS!C533="","",PATIENTS!B533)</f>
        <v/>
      </c>
      <c r="C533" t="str">
        <f>IF(PATIENTS!C533="","",PATIENTS!C533)</f>
        <v/>
      </c>
      <c r="D533" t="str">
        <f>IF(PATIENTS!C533="","",PATIENTS!D533)</f>
        <v/>
      </c>
      <c r="E533" t="str">
        <f>IF(PATIENTS!C533="","",PATIENTS!E533)</f>
        <v/>
      </c>
    </row>
    <row r="534" spans="1:5" x14ac:dyDescent="0.3">
      <c r="A534" t="str">
        <f>IF(PATIENTS!C534="","",PATIENTS!A534)</f>
        <v/>
      </c>
      <c r="B534" t="str">
        <f>IF(PATIENTS!C534="","",PATIENTS!B534)</f>
        <v/>
      </c>
      <c r="C534" t="str">
        <f>IF(PATIENTS!C534="","",PATIENTS!C534)</f>
        <v/>
      </c>
      <c r="D534" t="str">
        <f>IF(PATIENTS!C534="","",PATIENTS!D534)</f>
        <v/>
      </c>
      <c r="E534" t="str">
        <f>IF(PATIENTS!C534="","",PATIENTS!E534)</f>
        <v/>
      </c>
    </row>
    <row r="535" spans="1:5" x14ac:dyDescent="0.3">
      <c r="A535" t="str">
        <f>IF(PATIENTS!C535="","",PATIENTS!A535)</f>
        <v/>
      </c>
      <c r="B535" t="str">
        <f>IF(PATIENTS!C535="","",PATIENTS!B535)</f>
        <v/>
      </c>
      <c r="C535" t="str">
        <f>IF(PATIENTS!C535="","",PATIENTS!C535)</f>
        <v/>
      </c>
      <c r="D535" t="str">
        <f>IF(PATIENTS!C535="","",PATIENTS!D535)</f>
        <v/>
      </c>
      <c r="E535" t="str">
        <f>IF(PATIENTS!C535="","",PATIENTS!E535)</f>
        <v/>
      </c>
    </row>
    <row r="536" spans="1:5" x14ac:dyDescent="0.3">
      <c r="A536" t="str">
        <f>IF(PATIENTS!C536="","",PATIENTS!A536)</f>
        <v/>
      </c>
      <c r="B536" t="str">
        <f>IF(PATIENTS!C536="","",PATIENTS!B536)</f>
        <v/>
      </c>
      <c r="C536" t="str">
        <f>IF(PATIENTS!C536="","",PATIENTS!C536)</f>
        <v/>
      </c>
      <c r="D536" t="str">
        <f>IF(PATIENTS!C536="","",PATIENTS!D536)</f>
        <v/>
      </c>
      <c r="E536" t="str">
        <f>IF(PATIENTS!C536="","",PATIENTS!E536)</f>
        <v/>
      </c>
    </row>
    <row r="537" spans="1:5" x14ac:dyDescent="0.3">
      <c r="A537" t="str">
        <f>IF(PATIENTS!C537="","",PATIENTS!A537)</f>
        <v/>
      </c>
      <c r="B537" t="str">
        <f>IF(PATIENTS!C537="","",PATIENTS!B537)</f>
        <v/>
      </c>
      <c r="C537" t="str">
        <f>IF(PATIENTS!C537="","",PATIENTS!C537)</f>
        <v/>
      </c>
      <c r="D537" t="str">
        <f>IF(PATIENTS!C537="","",PATIENTS!D537)</f>
        <v/>
      </c>
      <c r="E537" t="str">
        <f>IF(PATIENTS!C537="","",PATIENTS!E537)</f>
        <v/>
      </c>
    </row>
    <row r="538" spans="1:5" x14ac:dyDescent="0.3">
      <c r="A538" t="str">
        <f>IF(PATIENTS!C538="","",PATIENTS!A538)</f>
        <v/>
      </c>
      <c r="B538" t="str">
        <f>IF(PATIENTS!C538="","",PATIENTS!B538)</f>
        <v/>
      </c>
      <c r="C538" t="str">
        <f>IF(PATIENTS!C538="","",PATIENTS!C538)</f>
        <v/>
      </c>
      <c r="D538" t="str">
        <f>IF(PATIENTS!C538="","",PATIENTS!D538)</f>
        <v/>
      </c>
      <c r="E538" t="str">
        <f>IF(PATIENTS!C538="","",PATIENTS!E538)</f>
        <v/>
      </c>
    </row>
    <row r="539" spans="1:5" x14ac:dyDescent="0.3">
      <c r="A539" t="str">
        <f>IF(PATIENTS!C539="","",PATIENTS!A539)</f>
        <v/>
      </c>
      <c r="B539" t="str">
        <f>IF(PATIENTS!C539="","",PATIENTS!B539)</f>
        <v/>
      </c>
      <c r="C539" t="str">
        <f>IF(PATIENTS!C539="","",PATIENTS!C539)</f>
        <v/>
      </c>
      <c r="D539" t="str">
        <f>IF(PATIENTS!C539="","",PATIENTS!D539)</f>
        <v/>
      </c>
      <c r="E539" t="str">
        <f>IF(PATIENTS!C539="","",PATIENTS!E539)</f>
        <v/>
      </c>
    </row>
    <row r="540" spans="1:5" x14ac:dyDescent="0.3">
      <c r="A540" t="str">
        <f>IF(PATIENTS!C540="","",PATIENTS!A540)</f>
        <v/>
      </c>
      <c r="B540" t="str">
        <f>IF(PATIENTS!C540="","",PATIENTS!B540)</f>
        <v/>
      </c>
      <c r="C540" t="str">
        <f>IF(PATIENTS!C540="","",PATIENTS!C540)</f>
        <v/>
      </c>
      <c r="D540" t="str">
        <f>IF(PATIENTS!C540="","",PATIENTS!D540)</f>
        <v/>
      </c>
      <c r="E540" t="str">
        <f>IF(PATIENTS!C540="","",PATIENTS!E540)</f>
        <v/>
      </c>
    </row>
    <row r="541" spans="1:5" x14ac:dyDescent="0.3">
      <c r="A541" t="str">
        <f>IF(PATIENTS!C541="","",PATIENTS!A541)</f>
        <v/>
      </c>
      <c r="B541" t="str">
        <f>IF(PATIENTS!C541="","",PATIENTS!B541)</f>
        <v/>
      </c>
      <c r="C541" t="str">
        <f>IF(PATIENTS!C541="","",PATIENTS!C541)</f>
        <v/>
      </c>
      <c r="D541" t="str">
        <f>IF(PATIENTS!C541="","",PATIENTS!D541)</f>
        <v/>
      </c>
      <c r="E541" t="str">
        <f>IF(PATIENTS!C541="","",PATIENTS!E541)</f>
        <v/>
      </c>
    </row>
    <row r="542" spans="1:5" x14ac:dyDescent="0.3">
      <c r="A542" t="str">
        <f>IF(PATIENTS!C542="","",PATIENTS!A542)</f>
        <v/>
      </c>
      <c r="B542" t="str">
        <f>IF(PATIENTS!C542="","",PATIENTS!B542)</f>
        <v/>
      </c>
      <c r="C542" t="str">
        <f>IF(PATIENTS!C542="","",PATIENTS!C542)</f>
        <v/>
      </c>
      <c r="D542" t="str">
        <f>IF(PATIENTS!C542="","",PATIENTS!D542)</f>
        <v/>
      </c>
      <c r="E542" t="str">
        <f>IF(PATIENTS!C542="","",PATIENTS!E542)</f>
        <v/>
      </c>
    </row>
    <row r="543" spans="1:5" x14ac:dyDescent="0.3">
      <c r="A543" t="str">
        <f>IF(PATIENTS!C543="","",PATIENTS!A543)</f>
        <v/>
      </c>
      <c r="B543" t="str">
        <f>IF(PATIENTS!C543="","",PATIENTS!B543)</f>
        <v/>
      </c>
      <c r="C543" t="str">
        <f>IF(PATIENTS!C543="","",PATIENTS!C543)</f>
        <v/>
      </c>
      <c r="D543" t="str">
        <f>IF(PATIENTS!C543="","",PATIENTS!D543)</f>
        <v/>
      </c>
      <c r="E543" t="str">
        <f>IF(PATIENTS!C543="","",PATIENTS!E543)</f>
        <v/>
      </c>
    </row>
    <row r="544" spans="1:5" x14ac:dyDescent="0.3">
      <c r="A544" t="str">
        <f>IF(PATIENTS!C544="","",PATIENTS!A544)</f>
        <v/>
      </c>
      <c r="B544" t="str">
        <f>IF(PATIENTS!C544="","",PATIENTS!B544)</f>
        <v/>
      </c>
      <c r="C544" t="str">
        <f>IF(PATIENTS!C544="","",PATIENTS!C544)</f>
        <v/>
      </c>
      <c r="D544" t="str">
        <f>IF(PATIENTS!C544="","",PATIENTS!D544)</f>
        <v/>
      </c>
      <c r="E544" t="str">
        <f>IF(PATIENTS!C544="","",PATIENTS!E544)</f>
        <v/>
      </c>
    </row>
    <row r="545" spans="1:5" x14ac:dyDescent="0.3">
      <c r="A545" t="str">
        <f>IF(PATIENTS!C545="","",PATIENTS!A545)</f>
        <v/>
      </c>
      <c r="B545" t="str">
        <f>IF(PATIENTS!C545="","",PATIENTS!B545)</f>
        <v/>
      </c>
      <c r="C545" t="str">
        <f>IF(PATIENTS!C545="","",PATIENTS!C545)</f>
        <v/>
      </c>
      <c r="D545" t="str">
        <f>IF(PATIENTS!C545="","",PATIENTS!D545)</f>
        <v/>
      </c>
      <c r="E545" t="str">
        <f>IF(PATIENTS!C545="","",PATIENTS!E545)</f>
        <v/>
      </c>
    </row>
    <row r="546" spans="1:5" x14ac:dyDescent="0.3">
      <c r="A546" t="str">
        <f>IF(PATIENTS!C546="","",PATIENTS!A546)</f>
        <v/>
      </c>
      <c r="B546" t="str">
        <f>IF(PATIENTS!C546="","",PATIENTS!B546)</f>
        <v/>
      </c>
      <c r="C546" t="str">
        <f>IF(PATIENTS!C546="","",PATIENTS!C546)</f>
        <v/>
      </c>
      <c r="D546" t="str">
        <f>IF(PATIENTS!C546="","",PATIENTS!D546)</f>
        <v/>
      </c>
      <c r="E546" t="str">
        <f>IF(PATIENTS!C546="","",PATIENTS!E546)</f>
        <v/>
      </c>
    </row>
    <row r="547" spans="1:5" x14ac:dyDescent="0.3">
      <c r="A547" t="str">
        <f>IF(PATIENTS!C547="","",PATIENTS!A547)</f>
        <v/>
      </c>
      <c r="B547" t="str">
        <f>IF(PATIENTS!C547="","",PATIENTS!B547)</f>
        <v/>
      </c>
      <c r="C547" t="str">
        <f>IF(PATIENTS!C547="","",PATIENTS!C547)</f>
        <v/>
      </c>
      <c r="D547" t="str">
        <f>IF(PATIENTS!C547="","",PATIENTS!D547)</f>
        <v/>
      </c>
      <c r="E547" t="str">
        <f>IF(PATIENTS!C547="","",PATIENTS!E547)</f>
        <v/>
      </c>
    </row>
    <row r="548" spans="1:5" x14ac:dyDescent="0.3">
      <c r="A548" t="str">
        <f>IF(PATIENTS!C548="","",PATIENTS!A548)</f>
        <v/>
      </c>
      <c r="B548" t="str">
        <f>IF(PATIENTS!C548="","",PATIENTS!B548)</f>
        <v/>
      </c>
      <c r="C548" t="str">
        <f>IF(PATIENTS!C548="","",PATIENTS!C548)</f>
        <v/>
      </c>
      <c r="D548" t="str">
        <f>IF(PATIENTS!C548="","",PATIENTS!D548)</f>
        <v/>
      </c>
      <c r="E548" t="str">
        <f>IF(PATIENTS!C548="","",PATIENTS!E548)</f>
        <v/>
      </c>
    </row>
    <row r="549" spans="1:5" x14ac:dyDescent="0.3">
      <c r="A549" t="str">
        <f>IF(PATIENTS!C549="","",PATIENTS!A549)</f>
        <v/>
      </c>
      <c r="B549" t="str">
        <f>IF(PATIENTS!C549="","",PATIENTS!B549)</f>
        <v/>
      </c>
      <c r="C549" t="str">
        <f>IF(PATIENTS!C549="","",PATIENTS!C549)</f>
        <v/>
      </c>
      <c r="D549" t="str">
        <f>IF(PATIENTS!C549="","",PATIENTS!D549)</f>
        <v/>
      </c>
      <c r="E549" t="str">
        <f>IF(PATIENTS!C549="","",PATIENTS!E549)</f>
        <v/>
      </c>
    </row>
    <row r="550" spans="1:5" x14ac:dyDescent="0.3">
      <c r="A550" t="str">
        <f>IF(PATIENTS!C550="","",PATIENTS!A550)</f>
        <v/>
      </c>
      <c r="B550" t="str">
        <f>IF(PATIENTS!C550="","",PATIENTS!B550)</f>
        <v/>
      </c>
      <c r="C550" t="str">
        <f>IF(PATIENTS!C550="","",PATIENTS!C550)</f>
        <v/>
      </c>
      <c r="D550" t="str">
        <f>IF(PATIENTS!C550="","",PATIENTS!D550)</f>
        <v/>
      </c>
      <c r="E550" t="str">
        <f>IF(PATIENTS!C550="","",PATIENTS!E550)</f>
        <v/>
      </c>
    </row>
  </sheetData>
  <autoFilter ref="A1:W86" xr:uid="{00000000-0009-0000-0000-000000000000}"/>
  <conditionalFormatting sqref="A2:E500">
    <cfRule type="expression" dxfId="6" priority="2">
      <formula>$D2="Ν"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000-000000000000}">
          <x14:formula1>
            <xm:f>SETTINGS!$B$2:$B$20</xm:f>
          </x14:formula1>
          <xm:sqref>F2:F550 I2:I550 N2:N550 P2:P550 R2:R550 T2:T550</xm:sqref>
        </x14:dataValidation>
        <x14:dataValidation type="list" allowBlank="1" xr:uid="{00000000-0002-0000-0000-000001000000}">
          <x14:formula1>
            <xm:f>SETTINGS!$C$2:$C$30</xm:f>
          </x14:formula1>
          <xm:sqref>L2:L550</xm:sqref>
        </x14:dataValidation>
        <x14:dataValidation type="list" allowBlank="1" xr:uid="{00000000-0002-0000-0000-000002000000}">
          <x14:formula1>
            <xm:f>SETTINGS!$D$2:$D$100</xm:f>
          </x14:formula1>
          <xm:sqref>G2:G550 J2:J550 M2:M550 O2:O550 Q2:Q550 S2:S550 U2:U550</xm:sqref>
        </x14:dataValidation>
        <x14:dataValidation type="list" allowBlank="1" xr:uid="{00000000-0002-0000-0000-000003000000}">
          <x14:formula1>
            <xm:f>SETTINGS!$A$2:$A$100</xm:f>
          </x14:formula1>
          <xm:sqref>H2:H550 K2:K550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2"/>
  <dimension ref="A1:L550"/>
  <sheetViews>
    <sheetView workbookViewId="0">
      <pane xSplit="1" ySplit="1" topLeftCell="B13" activePane="bottomRight" state="frozen"/>
      <selection pane="topRight"/>
      <selection pane="bottomLeft"/>
      <selection pane="bottomRight" sqref="A1:A1048576"/>
    </sheetView>
  </sheetViews>
  <sheetFormatPr defaultRowHeight="14.4" x14ac:dyDescent="0.3"/>
  <cols>
    <col min="1" max="1" width="13.77734375" hidden="1" customWidth="1"/>
    <col min="2" max="2" width="8.77734375" bestFit="1" customWidth="1"/>
    <col min="3" max="3" width="20.6640625" bestFit="1" customWidth="1"/>
    <col min="4" max="4" width="14.44140625" bestFit="1" customWidth="1"/>
    <col min="5" max="5" width="17.6640625" customWidth="1"/>
    <col min="6" max="6" width="11" bestFit="1" customWidth="1"/>
    <col min="7" max="7" width="17.33203125" bestFit="1" customWidth="1"/>
    <col min="8" max="8" width="9.5546875" bestFit="1" customWidth="1"/>
    <col min="9" max="9" width="9.77734375" bestFit="1" customWidth="1"/>
    <col min="10" max="10" width="9.21875" bestFit="1" customWidth="1"/>
    <col min="11" max="11" width="18" customWidth="1"/>
  </cols>
  <sheetData>
    <row r="1" spans="1:12" ht="28.8" customHeight="1" x14ac:dyDescent="0.3">
      <c r="A1" s="47" t="s">
        <v>0</v>
      </c>
      <c r="B1" s="47" t="s">
        <v>1</v>
      </c>
      <c r="C1" s="47" t="s">
        <v>2</v>
      </c>
      <c r="D1" s="48" t="s">
        <v>3</v>
      </c>
      <c r="E1" s="49" t="s">
        <v>4</v>
      </c>
      <c r="F1" s="48" t="s">
        <v>5</v>
      </c>
      <c r="G1" s="48" t="s">
        <v>6</v>
      </c>
      <c r="H1" s="50" t="s">
        <v>7</v>
      </c>
      <c r="I1" s="51" t="s">
        <v>8</v>
      </c>
      <c r="J1" s="52" t="s">
        <v>9</v>
      </c>
      <c r="K1" s="47" t="s">
        <v>10</v>
      </c>
    </row>
    <row r="2" spans="1:12" ht="34.049999999999997" customHeight="1" x14ac:dyDescent="0.3">
      <c r="A2" s="14" t="str">
        <f>PATIENT_PLANNER!D2</f>
        <v>Ο</v>
      </c>
      <c r="B2" s="65" t="str">
        <f>PATIENT_PLANNER!B2</f>
        <v>A01</v>
      </c>
      <c r="C2" s="66" t="str">
        <f>PATIENT_PLANNER!C2</f>
        <v>ΜΟΤΣΙΟΣ</v>
      </c>
      <c r="D2" s="55" t="str">
        <f>IF(PATIENT_PLANNER!F2="","",IF(ISNUMBER(PATIENT_PLANNER!F2),TEXT(PATIENT_PLANNER!F2,"ω:λλ"),PATIENT_PLANNER!F2)&amp;IF(OR(PATIENT_PLANNER!G2="",ISNUMBER(SEARCH("Καθ",PATIENT_PLANNER!G2))),"",
" ("&amp;PATIENT_PLANNER!G2&amp;")")&amp;IF(PATIENT_PLANNER!H2&lt;&gt;"",CHAR(10)&amp;PATIENT_PLANNER!H2,""))</f>
        <v>8:30 (Τρ-Πε)
Μηλιδάκης</v>
      </c>
      <c r="E2" s="15" t="str">
        <f>IF(PATIENT_PLANNER!I2="","",IF(ISNUMBER(PATIENT_PLANNER!I2),TEXT(PATIENT_PLANNER!I2,"ω:λλ"),PATIENT_PLANNER!I2)&amp;IF(OR(PATIENT_PLANNER!J2="",ISNUMBER(SEARCH("Καθ",PATIENT_PLANNER!J2))),"",
" ("&amp;PATIENT_PLANNER!J2&amp;")")&amp;IF(PATIENT_PLANNER!K2&lt;&gt;"",CHAR(10)&amp;PATIENT_PLANNER!K2,""))</f>
        <v>8:30 (Δε-Τε-Πα)
Μηλιδάκης</v>
      </c>
      <c r="F2" s="16" t="str">
        <f>IF(PATIENT_PLANNER!N2="","",PATIENT_PLANNER!N2&amp;IF(OR(PATIENT_PLANNER!O2="",ISNUMBER(SEARCH("Καθ",PATIENT_PLANNER!O2))),""," ("&amp;PATIENT_PLANNER!O2&amp;")"))</f>
        <v/>
      </c>
      <c r="G2" s="16" t="str">
        <f>IF(PATIENT_PLANNER!L2="","",PATIENT_PLANNER!L2&amp;IF(OR(PATIENT_PLANNER!M2="",ISNUMBER(SEARCH("Καθ",PATIENT_PLANNER!M2))),""," ("&amp;PATIENT_PLANNER!M2&amp;")"))</f>
        <v>9:30 (Δε-Τε-Πε)</v>
      </c>
      <c r="H2" s="17" t="str">
        <f>IF(PATIENT_PLANNER!P2="","",PATIENT_PLANNER!P2&amp;IF(OR(PATIENT_PLANNER!Q2="",ISNUMBER(SEARCH("Καθ",PATIENT_PLANNER!Q2))),""," ("&amp;PATIENT_PLANNER!Q2&amp;")"))</f>
        <v>10:00 (Δε-Τρ-Πε)</v>
      </c>
      <c r="I2" s="18" t="str">
        <f>IF(PATIENT_PLANNER!R2="","",PATIENT_PLANNER!R2&amp;IF(OR(PATIENT_PLANNER!S2="",ISNUMBER(SEARCH("Καθ",PATIENT_PLANNER!S2))),""," ("&amp;PATIENT_PLANNER!S2&amp;")"))</f>
        <v/>
      </c>
      <c r="J2" s="19" t="str">
        <f>IF(PATIENT_PLANNER!T2="","",PATIENT_PLANNER!T2&amp;IF(OR(PATIENT_PLANNER!U2="",ISNUMBER(SEARCH("Καθ",PATIENT_PLANNER!U2))),""," ("&amp;PATIENT_PLANNER!U2&amp;")"))</f>
        <v/>
      </c>
      <c r="K2" s="14" t="str">
        <f>PATIENT_PLANNER!E2</f>
        <v>παρών</v>
      </c>
    </row>
    <row r="3" spans="1:12" ht="34.049999999999997" customHeight="1" x14ac:dyDescent="0.3">
      <c r="A3" s="14" t="str">
        <f>PATIENT_PLANNER!D3</f>
        <v>Ν</v>
      </c>
      <c r="B3" s="53" t="str">
        <f>PATIENT_PLANNER!B3</f>
        <v>A02</v>
      </c>
      <c r="C3" s="54" t="str">
        <f>PATIENT_PLANNER!C3</f>
        <v>ΒΑΡΒΑΡΑΣ</v>
      </c>
      <c r="D3" s="55" t="str">
        <f>IF(PATIENT_PLANNER!F3="","",IF(ISNUMBER(PATIENT_PLANNER!F3),TEXT(PATIENT_PLANNER!F3,"ω:λλ"),PATIENT_PLANNER!F3)&amp;IF(OR(PATIENT_PLANNER!G3="",ISNUMBER(SEARCH("Καθ",PATIENT_PLANNER!G3))),"",
" ("&amp;PATIENT_PLANNER!G3&amp;")")&amp;IF(PATIENT_PLANNER!H3&lt;&gt;"",CHAR(10)&amp;PATIENT_PLANNER!H3,""))</f>
        <v>10:45</v>
      </c>
      <c r="E3" s="15" t="str">
        <f>IF(PATIENT_PLANNER!I3="","",IF(ISNUMBER(PATIENT_PLANNER!I3),TEXT(PATIENT_PLANNER!I3,"ω:λλ"),PATIENT_PLANNER!I3)&amp;IF(OR(PATIENT_PLANNER!J3="",ISNUMBER(SEARCH("Καθ",PATIENT_PLANNER!J3))),"",
" ("&amp;PATIENT_PLANNER!J3&amp;")")&amp;IF(PATIENT_PLANNER!K3&lt;&gt;"",CHAR(10)&amp;PATIENT_PLANNER!K3,""))</f>
        <v/>
      </c>
      <c r="F3" s="16" t="str">
        <f>IF(PATIENT_PLANNER!N3="","",PATIENT_PLANNER!N3&amp;IF(OR(PATIENT_PLANNER!O3="",ISNUMBER(SEARCH("Καθ",PATIENT_PLANNER!O3))),""," ("&amp;PATIENT_PLANNER!O3&amp;")"))</f>
        <v/>
      </c>
      <c r="G3" s="16" t="str">
        <f>IF(PATIENT_PLANNER!L3="","",PATIENT_PLANNER!L3&amp;IF(OR(PATIENT_PLANNER!M3="",ISNUMBER(SEARCH("Καθ",PATIENT_PLANNER!M3))),""," ("&amp;PATIENT_PLANNER!M3&amp;")"))</f>
        <v/>
      </c>
      <c r="H3" s="17" t="str">
        <f>IF(PATIENT_PLANNER!P3="","",PATIENT_PLANNER!P3&amp;IF(OR(PATIENT_PLANNER!Q3="",ISNUMBER(SEARCH("Καθ",PATIENT_PLANNER!Q3))),""," ("&amp;PATIENT_PLANNER!Q3&amp;")"))</f>
        <v/>
      </c>
      <c r="I3" s="18" t="str">
        <f>IF(PATIENT_PLANNER!R3="","",PATIENT_PLANNER!R3&amp;IF(OR(PATIENT_PLANNER!S3="",ISNUMBER(SEARCH("Καθ",PATIENT_PLANNER!S3))),""," ("&amp;PATIENT_PLANNER!S3&amp;")"))</f>
        <v>11:30 (Δε-Τε)</v>
      </c>
      <c r="J3" s="19" t="str">
        <f>IF(PATIENT_PLANNER!T3="","",PATIENT_PLANNER!T3&amp;IF(OR(PATIENT_PLANNER!U3="",ISNUMBER(SEARCH("Καθ",PATIENT_PLANNER!U3))),""," ("&amp;PATIENT_PLANNER!U3&amp;")"))</f>
        <v/>
      </c>
      <c r="K3" s="14" t="str">
        <f>PATIENT_PLANNER!E3</f>
        <v>διακομισμένος</v>
      </c>
    </row>
    <row r="4" spans="1:12" ht="34.049999999999997" customHeight="1" x14ac:dyDescent="0.3">
      <c r="A4" s="14" t="str">
        <f>PATIENT_PLANNER!D4</f>
        <v>Ν</v>
      </c>
      <c r="B4" s="53" t="str">
        <f>PATIENT_PLANNER!B4</f>
        <v>A02</v>
      </c>
      <c r="C4" s="54" t="str">
        <f>PATIENT_PLANNER!C4</f>
        <v>ΖΑΛΟΚΩΣΤΑΣ</v>
      </c>
      <c r="D4" s="55" t="str">
        <f>IF(PATIENT_PLANNER!F4="","",IF(ISNUMBER(PATIENT_PLANNER!F4),TEXT(PATIENT_PLANNER!F4,"ω:λλ"),PATIENT_PLANNER!F4)&amp;IF(OR(PATIENT_PLANNER!G4="",ISNUMBER(SEARCH("Καθ",PATIENT_PLANNER!G4))),"",
" ("&amp;PATIENT_PLANNER!G4&amp;")")&amp;IF(PATIENT_PLANNER!H4&lt;&gt;"",CHAR(10)&amp;PATIENT_PLANNER!H4,""))</f>
        <v>12:15
Αργέντος</v>
      </c>
      <c r="E4" s="15" t="str">
        <f>IF(PATIENT_PLANNER!I4="","",IF(ISNUMBER(PATIENT_PLANNER!I4),TEXT(PATIENT_PLANNER!I4,"ω:λλ"),PATIENT_PLANNER!I4)&amp;IF(OR(PATIENT_PLANNER!J4="",ISNUMBER(SEARCH("Καθ",PATIENT_PLANNER!J4))),"",
" ("&amp;PATIENT_PLANNER!J4&amp;")")&amp;IF(PATIENT_PLANNER!K4&lt;&gt;"",CHAR(10)&amp;PATIENT_PLANNER!K4,""))</f>
        <v/>
      </c>
      <c r="F4" s="16" t="str">
        <f>IF(PATIENT_PLANNER!N4="","",PATIENT_PLANNER!N4&amp;IF(OR(PATIENT_PLANNER!O4="",ISNUMBER(SEARCH("Καθ",PATIENT_PLANNER!O4))),""," ("&amp;PATIENT_PLANNER!O4&amp;")"))</f>
        <v/>
      </c>
      <c r="G4" s="16" t="str">
        <f>IF(PATIENT_PLANNER!L4="","",PATIENT_PLANNER!L4&amp;IF(OR(PATIENT_PLANNER!M4="",ISNUMBER(SEARCH("Καθ",PATIENT_PLANNER!M4))),""," ("&amp;PATIENT_PLANNER!M4&amp;")"))</f>
        <v/>
      </c>
      <c r="H4" s="17" t="str">
        <f>IF(PATIENT_PLANNER!P4="","",PATIENT_PLANNER!P4&amp;IF(OR(PATIENT_PLANNER!Q4="",ISNUMBER(SEARCH("Καθ",PATIENT_PLANNER!Q4))),""," ("&amp;PATIENT_PLANNER!Q4&amp;")"))</f>
        <v>11:30 (Τρ-Πε)</v>
      </c>
      <c r="I4" s="18" t="str">
        <f>IF(PATIENT_PLANNER!R4="","",PATIENT_PLANNER!R4&amp;IF(OR(PATIENT_PLANNER!S4="",ISNUMBER(SEARCH("Καθ",PATIENT_PLANNER!S4))),""," ("&amp;PATIENT_PLANNER!S4&amp;")"))</f>
        <v/>
      </c>
      <c r="J4" s="19" t="str">
        <f>IF(PATIENT_PLANNER!T4="","",PATIENT_PLANNER!T4&amp;IF(OR(PATIENT_PLANNER!U4="",ISNUMBER(SEARCH("Καθ",PATIENT_PLANNER!U4))),""," ("&amp;PATIENT_PLANNER!U4&amp;")"))</f>
        <v/>
      </c>
      <c r="K4" s="14" t="str">
        <f>PATIENT_PLANNER!E4</f>
        <v>παρών</v>
      </c>
      <c r="L4" t="b">
        <f>OR(TRIM($A3)="N",TRIM($A3)="N")</f>
        <v>0</v>
      </c>
    </row>
    <row r="5" spans="1:12" ht="34.049999999999997" customHeight="1" x14ac:dyDescent="0.3">
      <c r="A5" s="14" t="str">
        <f>PATIENT_PLANNER!D5</f>
        <v>Ν</v>
      </c>
      <c r="B5" s="53" t="str">
        <f>PATIENT_PLANNER!B5</f>
        <v>A02</v>
      </c>
      <c r="C5" s="54" t="str">
        <f>PATIENT_PLANNER!C5</f>
        <v>ΠΑΠΑΔΟΠΟΥΛΟΥ</v>
      </c>
      <c r="D5" s="55" t="str">
        <f>IF(PATIENT_PLANNER!F5="","",IF(ISNUMBER(PATIENT_PLANNER!F5),TEXT(PATIENT_PLANNER!F5,"ω:λλ"),PATIENT_PLANNER!F5)&amp;IF(OR(PATIENT_PLANNER!G5="",ISNUMBER(SEARCH("Καθ",PATIENT_PLANNER!G5))),"",
" ("&amp;PATIENT_PLANNER!G5&amp;")")&amp;IF(PATIENT_PLANNER!H5&lt;&gt;"",CHAR(10)&amp;PATIENT_PLANNER!H5,""))</f>
        <v>10:45
Παπαμάνου</v>
      </c>
      <c r="E5" s="15" t="str">
        <f>IF(PATIENT_PLANNER!I5="","",IF(ISNUMBER(PATIENT_PLANNER!I5),TEXT(PATIENT_PLANNER!I5,"ω:λλ"),PATIENT_PLANNER!I5)&amp;IF(OR(PATIENT_PLANNER!J5="",ISNUMBER(SEARCH("Καθ",PATIENT_PLANNER!J5))),"",
" ("&amp;PATIENT_PLANNER!J5&amp;")")&amp;IF(PATIENT_PLANNER!K5&lt;&gt;"",CHAR(10)&amp;PATIENT_PLANNER!K5,""))</f>
        <v/>
      </c>
      <c r="F5" s="16" t="str">
        <f>IF(PATIENT_PLANNER!N5="","",PATIENT_PLANNER!N5&amp;IF(OR(PATIENT_PLANNER!O5="",ISNUMBER(SEARCH("Καθ",PATIENT_PLANNER!O5))),""," ("&amp;PATIENT_PLANNER!O5&amp;")"))</f>
        <v/>
      </c>
      <c r="G5" s="16" t="str">
        <f>IF(PATIENT_PLANNER!L5="","",PATIENT_PLANNER!L5&amp;IF(OR(PATIENT_PLANNER!M5="",ISNUMBER(SEARCH("Καθ",PATIENT_PLANNER!M5))),""," ("&amp;PATIENT_PLANNER!M5&amp;")"))</f>
        <v/>
      </c>
      <c r="H5" s="17" t="str">
        <f>IF(PATIENT_PLANNER!P5="","",PATIENT_PLANNER!P5&amp;IF(OR(PATIENT_PLANNER!Q5="",ISNUMBER(SEARCH("Καθ",PATIENT_PLANNER!Q5))),""," ("&amp;PATIENT_PLANNER!Q5&amp;")"))</f>
        <v/>
      </c>
      <c r="I5" s="18" t="str">
        <f>IF(PATIENT_PLANNER!R5="","",PATIENT_PLANNER!R5&amp;IF(OR(PATIENT_PLANNER!S5="",ISNUMBER(SEARCH("Καθ",PATIENT_PLANNER!S5))),""," ("&amp;PATIENT_PLANNER!S5&amp;")"))</f>
        <v/>
      </c>
      <c r="J5" s="19" t="str">
        <f>IF(PATIENT_PLANNER!T5="","",PATIENT_PLANNER!T5&amp;IF(OR(PATIENT_PLANNER!U5="",ISNUMBER(SEARCH("Καθ",PATIENT_PLANNER!U5))),""," ("&amp;PATIENT_PLANNER!U5&amp;")"))</f>
        <v/>
      </c>
      <c r="K5" s="14" t="str">
        <f>PATIENT_PLANNER!E5</f>
        <v>παρών</v>
      </c>
    </row>
    <row r="6" spans="1:12" ht="34.049999999999997" customHeight="1" x14ac:dyDescent="0.3">
      <c r="A6" s="14" t="str">
        <f>PATIENT_PLANNER!D6</f>
        <v>Ν</v>
      </c>
      <c r="B6" s="53" t="str">
        <f>PATIENT_PLANNER!B6</f>
        <v>A02</v>
      </c>
      <c r="C6" s="54" t="str">
        <f>PATIENT_PLANNER!C6</f>
        <v>ΦΡΑΓΚΗΣ ΙΩΑ</v>
      </c>
      <c r="D6" s="55" t="str">
        <f>IF(PATIENT_PLANNER!F6="","",IF(ISNUMBER(PATIENT_PLANNER!F6),TEXT(PATIENT_PLANNER!F6,"ω:λλ"),PATIENT_PLANNER!F6)&amp;IF(OR(PATIENT_PLANNER!G6="",ISNUMBER(SEARCH("Καθ",PATIENT_PLANNER!G6))),"",
" ("&amp;PATIENT_PLANNER!G6&amp;")")&amp;IF(PATIENT_PLANNER!H6&lt;&gt;"",CHAR(10)&amp;PATIENT_PLANNER!H6,""))</f>
        <v>9:15
Μηλιδάκης</v>
      </c>
      <c r="E6" s="15" t="str">
        <f>IF(PATIENT_PLANNER!I6="","",IF(ISNUMBER(PATIENT_PLANNER!I6),TEXT(PATIENT_PLANNER!I6,"ω:λλ"),PATIENT_PLANNER!I6)&amp;IF(OR(PATIENT_PLANNER!J6="",ISNUMBER(SEARCH("Καθ",PATIENT_PLANNER!J6))),"",
" ("&amp;PATIENT_PLANNER!J6&amp;")")&amp;IF(PATIENT_PLANNER!K6&lt;&gt;"",CHAR(10)&amp;PATIENT_PLANNER!K6,""))</f>
        <v/>
      </c>
      <c r="F6" s="16" t="str">
        <f>IF(PATIENT_PLANNER!N6="","",PATIENT_PLANNER!N6&amp;IF(OR(PATIENT_PLANNER!O6="",ISNUMBER(SEARCH("Καθ",PATIENT_PLANNER!O6))),""," ("&amp;PATIENT_PLANNER!O6&amp;")"))</f>
        <v/>
      </c>
      <c r="G6" s="16" t="str">
        <f>IF(PATIENT_PLANNER!L6="","",PATIENT_PLANNER!L6&amp;IF(OR(PATIENT_PLANNER!M6="",ISNUMBER(SEARCH("Καθ",PATIENT_PLANNER!M6))),""," ("&amp;PATIENT_PLANNER!M6&amp;")"))</f>
        <v/>
      </c>
      <c r="H6" s="17" t="str">
        <f>IF(PATIENT_PLANNER!P6="","",PATIENT_PLANNER!P6&amp;IF(OR(PATIENT_PLANNER!Q6="",ISNUMBER(SEARCH("Καθ",PATIENT_PLANNER!Q6))),""," ("&amp;PATIENT_PLANNER!Q6&amp;")"))</f>
        <v>10:00 (Τρ-Πε)</v>
      </c>
      <c r="I6" s="18" t="str">
        <f>IF(PATIENT_PLANNER!R6="","",PATIENT_PLANNER!R6&amp;IF(OR(PATIENT_PLANNER!S6="",ISNUMBER(SEARCH("Καθ",PATIENT_PLANNER!S6))),""," ("&amp;PATIENT_PLANNER!S6&amp;")"))</f>
        <v/>
      </c>
      <c r="J6" s="19" t="str">
        <f>IF(PATIENT_PLANNER!T6="","",PATIENT_PLANNER!T6&amp;IF(OR(PATIENT_PLANNER!U6="",ISNUMBER(SEARCH("Καθ",PATIENT_PLANNER!U6))),""," ("&amp;PATIENT_PLANNER!U6&amp;")"))</f>
        <v/>
      </c>
      <c r="K6" s="14" t="str">
        <f>PATIENT_PLANNER!E6</f>
        <v>παρών</v>
      </c>
    </row>
    <row r="7" spans="1:12" ht="34.049999999999997" customHeight="1" x14ac:dyDescent="0.3">
      <c r="A7" s="14" t="str">
        <f>PATIENT_PLANNER!D7</f>
        <v>Ν</v>
      </c>
      <c r="B7" s="53" t="str">
        <f>PATIENT_PLANNER!B7</f>
        <v>A03</v>
      </c>
      <c r="C7" s="54" t="str">
        <f>PATIENT_PLANNER!C7</f>
        <v>DUPE</v>
      </c>
      <c r="D7" s="55" t="str">
        <f>IF(PATIENT_PLANNER!F7="","",IF(ISNUMBER(PATIENT_PLANNER!F7),TEXT(PATIENT_PLANNER!F7,"ω:λλ"),PATIENT_PLANNER!F7)&amp;IF(OR(PATIENT_PLANNER!G7="",ISNUMBER(SEARCH("Καθ",PATIENT_PLANNER!G7))),"",
" ("&amp;PATIENT_PLANNER!G7&amp;")")&amp;IF(PATIENT_PLANNER!H7&lt;&gt;"",CHAR(10)&amp;PATIENT_PLANNER!H7,""))</f>
        <v/>
      </c>
      <c r="E7" s="15" t="str">
        <f>IF(PATIENT_PLANNER!I7="","",IF(ISNUMBER(PATIENT_PLANNER!I7),TEXT(PATIENT_PLANNER!I7,"ω:λλ"),PATIENT_PLANNER!I7)&amp;IF(OR(PATIENT_PLANNER!J7="",ISNUMBER(SEARCH("Καθ",PATIENT_PLANNER!J7))),"",
" ("&amp;PATIENT_PLANNER!J7&amp;")")&amp;IF(PATIENT_PLANNER!K7&lt;&gt;"",CHAR(10)&amp;PATIENT_PLANNER!K7,""))</f>
        <v/>
      </c>
      <c r="F7" s="16" t="str">
        <f>IF(PATIENT_PLANNER!N7="","",PATIENT_PLANNER!N7&amp;IF(OR(PATIENT_PLANNER!O7="",ISNUMBER(SEARCH("Καθ",PATIENT_PLANNER!O7))),""," ("&amp;PATIENT_PLANNER!O7&amp;")"))</f>
        <v/>
      </c>
      <c r="G7" s="16" t="str">
        <f>IF(PATIENT_PLANNER!L7="","",PATIENT_PLANNER!L7&amp;IF(OR(PATIENT_PLANNER!M7="",ISNUMBER(SEARCH("Καθ",PATIENT_PLANNER!M7))),""," ("&amp;PATIENT_PLANNER!M7&amp;")"))</f>
        <v/>
      </c>
      <c r="H7" s="17" t="str">
        <f>IF(PATIENT_PLANNER!P7="","",PATIENT_PLANNER!P7&amp;IF(OR(PATIENT_PLANNER!Q7="",ISNUMBER(SEARCH("Καθ",PATIENT_PLANNER!Q7))),""," ("&amp;PATIENT_PLANNER!Q7&amp;")"))</f>
        <v/>
      </c>
      <c r="I7" s="18" t="str">
        <f>IF(PATIENT_PLANNER!R7="","",PATIENT_PLANNER!R7&amp;IF(OR(PATIENT_PLANNER!S7="",ISNUMBER(SEARCH("Καθ",PATIENT_PLANNER!S7))),""," ("&amp;PATIENT_PLANNER!S7&amp;")"))</f>
        <v/>
      </c>
      <c r="J7" s="19" t="str">
        <f>IF(PATIENT_PLANNER!T7="","",PATIENT_PLANNER!T7&amp;IF(OR(PATIENT_PLANNER!U7="",ISNUMBER(SEARCH("Καθ",PATIENT_PLANNER!U7))),""," ("&amp;PATIENT_PLANNER!U7&amp;")"))</f>
        <v/>
      </c>
      <c r="K7" s="14" t="str">
        <f>PATIENT_PLANNER!E7</f>
        <v>παρών</v>
      </c>
    </row>
    <row r="8" spans="1:12" ht="34.049999999999997" customHeight="1" x14ac:dyDescent="0.3">
      <c r="A8" s="14" t="str">
        <f>PATIENT_PLANNER!D8</f>
        <v>Ν</v>
      </c>
      <c r="B8" s="53" t="str">
        <f>PATIENT_PLANNER!B8</f>
        <v>A03</v>
      </c>
      <c r="C8" s="54" t="str">
        <f>PATIENT_PLANNER!C8</f>
        <v>ΓΡΑΙΚΟΣ</v>
      </c>
      <c r="D8" s="55" t="str">
        <f>IF(PATIENT_PLANNER!F8="","",IF(ISNUMBER(PATIENT_PLANNER!F8),TEXT(PATIENT_PLANNER!F8,"ω:λλ"),PATIENT_PLANNER!F8)&amp;IF(OR(PATIENT_PLANNER!G8="",ISNUMBER(SEARCH("Καθ",PATIENT_PLANNER!G8))),"",
" ("&amp;PATIENT_PLANNER!G8&amp;")")&amp;IF(PATIENT_PLANNER!H8&lt;&gt;"",CHAR(10)&amp;PATIENT_PLANNER!H8,""))</f>
        <v>12:15
Βασιλειάδης</v>
      </c>
      <c r="E8" s="15" t="str">
        <f>IF(PATIENT_PLANNER!I8="","",IF(ISNUMBER(PATIENT_PLANNER!I8),TEXT(PATIENT_PLANNER!I8,"ω:λλ"),PATIENT_PLANNER!I8)&amp;IF(OR(PATIENT_PLANNER!J8="",ISNUMBER(SEARCH("Καθ",PATIENT_PLANNER!J8))),"",
" ("&amp;PATIENT_PLANNER!J8&amp;")")&amp;IF(PATIENT_PLANNER!K8&lt;&gt;"",CHAR(10)&amp;PATIENT_PLANNER!K8,""))</f>
        <v/>
      </c>
      <c r="F8" s="16" t="str">
        <f>IF(PATIENT_PLANNER!N8="","",PATIENT_PLANNER!N8&amp;IF(OR(PATIENT_PLANNER!O8="",ISNUMBER(SEARCH("Καθ",PATIENT_PLANNER!O8))),""," ("&amp;PATIENT_PLANNER!O8&amp;")"))</f>
        <v/>
      </c>
      <c r="G8" s="16" t="str">
        <f>IF(PATIENT_PLANNER!L8="","",PATIENT_PLANNER!L8&amp;IF(OR(PATIENT_PLANNER!M8="",ISNUMBER(SEARCH("Καθ",PATIENT_PLANNER!M8))),""," ("&amp;PATIENT_PLANNER!M8&amp;")"))</f>
        <v/>
      </c>
      <c r="H8" s="17" t="str">
        <f>IF(PATIENT_PLANNER!P8="","",PATIENT_PLANNER!P8&amp;IF(OR(PATIENT_PLANNER!Q8="",ISNUMBER(SEARCH("Καθ",PATIENT_PLANNER!Q8))),""," ("&amp;PATIENT_PLANNER!Q8&amp;")"))</f>
        <v>9:15</v>
      </c>
      <c r="I8" s="18" t="str">
        <f>IF(PATIENT_PLANNER!R8="","",PATIENT_PLANNER!R8&amp;IF(OR(PATIENT_PLANNER!S8="",ISNUMBER(SEARCH("Καθ",PATIENT_PLANNER!S8))),""," ("&amp;PATIENT_PLANNER!S8&amp;")"))</f>
        <v/>
      </c>
      <c r="J8" s="19" t="str">
        <f>IF(PATIENT_PLANNER!T8="","",PATIENT_PLANNER!T8&amp;IF(OR(PATIENT_PLANNER!U8="",ISNUMBER(SEARCH("Καθ",PATIENT_PLANNER!U8))),""," ("&amp;PATIENT_PLANNER!U8&amp;")"))</f>
        <v/>
      </c>
      <c r="K8" s="14" t="str">
        <f>PATIENT_PLANNER!E8</f>
        <v>παρών</v>
      </c>
    </row>
    <row r="9" spans="1:12" ht="34.049999999999997" customHeight="1" x14ac:dyDescent="0.3">
      <c r="A9" s="14" t="str">
        <f>PATIENT_PLANNER!D9</f>
        <v>Ν</v>
      </c>
      <c r="B9" s="53" t="str">
        <f>PATIENT_PLANNER!B9</f>
        <v>A03</v>
      </c>
      <c r="C9" s="54" t="str">
        <f>PATIENT_PLANNER!C9</f>
        <v>ΜΕΝΤΗΣ</v>
      </c>
      <c r="D9" s="55" t="str">
        <f>IF(PATIENT_PLANNER!F9="","",IF(ISNUMBER(PATIENT_PLANNER!F9),TEXT(PATIENT_PLANNER!F9,"ω:λλ"),PATIENT_PLANNER!F9)&amp;IF(OR(PATIENT_PLANNER!G9="",ISNUMBER(SEARCH("Καθ",PATIENT_PLANNER!G9))),"",
" ("&amp;PATIENT_PLANNER!G9&amp;")")&amp;IF(PATIENT_PLANNER!H9&lt;&gt;"",CHAR(10)&amp;PATIENT_PLANNER!H9,""))</f>
        <v>9:15
Σκαρώνης</v>
      </c>
      <c r="E9" s="15" t="str">
        <f>IF(PATIENT_PLANNER!I9="","",IF(ISNUMBER(PATIENT_PLANNER!I9),TEXT(PATIENT_PLANNER!I9,"ω:λλ"),PATIENT_PLANNER!I9)&amp;IF(OR(PATIENT_PLANNER!J9="",ISNUMBER(SEARCH("Καθ",PATIENT_PLANNER!J9))),"",
" ("&amp;PATIENT_PLANNER!J9&amp;")")&amp;IF(PATIENT_PLANNER!K9&lt;&gt;"",CHAR(10)&amp;PATIENT_PLANNER!K9,""))</f>
        <v/>
      </c>
      <c r="F9" s="16" t="str">
        <f>IF(PATIENT_PLANNER!N9="","",PATIENT_PLANNER!N9&amp;IF(OR(PATIENT_PLANNER!O9="",ISNUMBER(SEARCH("Καθ",PATIENT_PLANNER!O9))),""," ("&amp;PATIENT_PLANNER!O9&amp;")"))</f>
        <v/>
      </c>
      <c r="G9" s="16" t="str">
        <f>IF(PATIENT_PLANNER!L9="","",PATIENT_PLANNER!L9&amp;IF(OR(PATIENT_PLANNER!M9="",ISNUMBER(SEARCH("Καθ",PATIENT_PLANNER!M9))),""," ("&amp;PATIENT_PLANNER!M9&amp;")"))</f>
        <v/>
      </c>
      <c r="H9" s="17" t="str">
        <f>IF(PATIENT_PLANNER!P9="","",PATIENT_PLANNER!P9&amp;IF(OR(PATIENT_PLANNER!Q9="",ISNUMBER(SEARCH("Καθ",PATIENT_PLANNER!Q9))),""," ("&amp;PATIENT_PLANNER!Q9&amp;")"))</f>
        <v>10:00 (Δε-Τε-Πα)</v>
      </c>
      <c r="I9" s="18" t="str">
        <f>IF(PATIENT_PLANNER!R9="","",PATIENT_PLANNER!R9&amp;IF(OR(PATIENT_PLANNER!S9="",ISNUMBER(SEARCH("Καθ",PATIENT_PLANNER!S9))),""," ("&amp;PATIENT_PLANNER!S9&amp;")"))</f>
        <v>10:00 (Τρ-Πε)</v>
      </c>
      <c r="J9" s="19" t="str">
        <f>IF(PATIENT_PLANNER!T9="","",PATIENT_PLANNER!T9&amp;IF(OR(PATIENT_PLANNER!U9="",ISNUMBER(SEARCH("Καθ",PATIENT_PLANNER!U9))),""," ("&amp;PATIENT_PLANNER!U9&amp;")"))</f>
        <v/>
      </c>
      <c r="K9" s="14" t="str">
        <f>PATIENT_PLANNER!E9</f>
        <v>παρών</v>
      </c>
    </row>
    <row r="10" spans="1:12" ht="34.049999999999997" customHeight="1" x14ac:dyDescent="0.3">
      <c r="A10" s="14" t="str">
        <f>PATIENT_PLANNER!D10</f>
        <v>Ο</v>
      </c>
      <c r="B10" s="65" t="str">
        <f>PATIENT_PLANNER!B10</f>
        <v>A11</v>
      </c>
      <c r="C10" s="66" t="str">
        <f>PATIENT_PLANNER!C10</f>
        <v>ΠΕΤΙΡΟΠΟΥΛΟΣ</v>
      </c>
      <c r="D10" s="55" t="str">
        <f>IF(PATIENT_PLANNER!F10="","",IF(ISNUMBER(PATIENT_PLANNER!F10),TEXT(PATIENT_PLANNER!F10,"ω:λλ"),PATIENT_PLANNER!F10)&amp;IF(OR(PATIENT_PLANNER!G10="",ISNUMBER(SEARCH("Καθ",PATIENT_PLANNER!G10))),"",
" ("&amp;PATIENT_PLANNER!G10&amp;")")&amp;IF(PATIENT_PLANNER!H10&lt;&gt;"",CHAR(10)&amp;PATIENT_PLANNER!H10,""))</f>
        <v>8:30 (Δε-Τε-Πα)
Γαβράς</v>
      </c>
      <c r="E10" s="15" t="str">
        <f>IF(PATIENT_PLANNER!I10="","",IF(ISNUMBER(PATIENT_PLANNER!I10),TEXT(PATIENT_PLANNER!I10,"ω:λλ"),PATIENT_PLANNER!I10)&amp;IF(OR(PATIENT_PLANNER!J10="",ISNUMBER(SEARCH("Καθ",PATIENT_PLANNER!J10))),"",
" ("&amp;PATIENT_PLANNER!J10&amp;")")&amp;IF(PATIENT_PLANNER!K10&lt;&gt;"",CHAR(10)&amp;PATIENT_PLANNER!K10,""))</f>
        <v/>
      </c>
      <c r="F10" s="16" t="str">
        <f>IF(PATIENT_PLANNER!N10="","",PATIENT_PLANNER!N10&amp;IF(OR(PATIENT_PLANNER!O10="",ISNUMBER(SEARCH("Καθ",PATIENT_PLANNER!O10))),""," ("&amp;PATIENT_PLANNER!O10&amp;")"))</f>
        <v/>
      </c>
      <c r="G10" s="16" t="str">
        <f>IF(PATIENT_PLANNER!L10="","",PATIENT_PLANNER!L10&amp;IF(OR(PATIENT_PLANNER!M10="",ISNUMBER(SEARCH("Καθ",PATIENT_PLANNER!M10))),""," ("&amp;PATIENT_PLANNER!M10&amp;")"))</f>
        <v/>
      </c>
      <c r="H10" s="17" t="str">
        <f>IF(PATIENT_PLANNER!P10="","",PATIENT_PLANNER!P10&amp;IF(OR(PATIENT_PLANNER!Q10="",ISNUMBER(SEARCH("Καθ",PATIENT_PLANNER!Q10))),""," ("&amp;PATIENT_PLANNER!Q10&amp;")"))</f>
        <v/>
      </c>
      <c r="I10" s="18" t="str">
        <f>IF(PATIENT_PLANNER!R10="","",PATIENT_PLANNER!R10&amp;IF(OR(PATIENT_PLANNER!S10="",ISNUMBER(SEARCH("Καθ",PATIENT_PLANNER!S10))),""," ("&amp;PATIENT_PLANNER!S10&amp;")"))</f>
        <v/>
      </c>
      <c r="J10" s="19" t="str">
        <f>IF(PATIENT_PLANNER!T10="","",PATIENT_PLANNER!T10&amp;IF(OR(PATIENT_PLANNER!U10="",ISNUMBER(SEARCH("Καθ",PATIENT_PLANNER!U10))),""," ("&amp;PATIENT_PLANNER!U10&amp;")"))</f>
        <v/>
      </c>
      <c r="K10" s="14" t="str">
        <f>PATIENT_PLANNER!E10</f>
        <v>παρών</v>
      </c>
    </row>
    <row r="11" spans="1:12" ht="34.049999999999997" customHeight="1" x14ac:dyDescent="0.3">
      <c r="A11" s="14" t="str">
        <f>PATIENT_PLANNER!D11</f>
        <v>Ο</v>
      </c>
      <c r="B11" s="65" t="str">
        <f>PATIENT_PLANNER!B11</f>
        <v>A04</v>
      </c>
      <c r="C11" s="66" t="str">
        <f>PATIENT_PLANNER!C11</f>
        <v>ΒΑΛΛΙΑΝΑΤΟΥ</v>
      </c>
      <c r="D11" s="55" t="str">
        <f>IF(PATIENT_PLANNER!F11="","",IF(ISNUMBER(PATIENT_PLANNER!F11),TEXT(PATIENT_PLANNER!F11,"ω:λλ"),PATIENT_PLANNER!F11)&amp;IF(OR(PATIENT_PLANNER!G11="",ISNUMBER(SEARCH("Καθ",PATIENT_PLANNER!G11))),"",
" ("&amp;PATIENT_PLANNER!G11&amp;")")&amp;IF(PATIENT_PLANNER!H11&lt;&gt;"",CHAR(10)&amp;PATIENT_PLANNER!H11,""))</f>
        <v>12:15
Χρήστου</v>
      </c>
      <c r="E11" s="15" t="str">
        <f>IF(PATIENT_PLANNER!I11="","",IF(ISNUMBER(PATIENT_PLANNER!I11),TEXT(PATIENT_PLANNER!I11,"ω:λλ"),PATIENT_PLANNER!I11)&amp;IF(OR(PATIENT_PLANNER!J11="",ISNUMBER(SEARCH("Καθ",PATIENT_PLANNER!J11))),"",
" ("&amp;PATIENT_PLANNER!J11&amp;")")&amp;IF(PATIENT_PLANNER!K11&lt;&gt;"",CHAR(10)&amp;PATIENT_PLANNER!K11,""))</f>
        <v/>
      </c>
      <c r="F11" s="16" t="str">
        <f>IF(PATIENT_PLANNER!N11="","",PATIENT_PLANNER!N11&amp;IF(OR(PATIENT_PLANNER!O11="",ISNUMBER(SEARCH("Καθ",PATIENT_PLANNER!O11))),""," ("&amp;PATIENT_PLANNER!O11&amp;")"))</f>
        <v/>
      </c>
      <c r="G11" s="16" t="str">
        <f>IF(PATIENT_PLANNER!L11="","",PATIENT_PLANNER!L11&amp;IF(OR(PATIENT_PLANNER!M11="",ISNUMBER(SEARCH("Καθ",PATIENT_PLANNER!M11))),""," ("&amp;PATIENT_PLANNER!M11&amp;")"))</f>
        <v/>
      </c>
      <c r="H11" s="17" t="str">
        <f>IF(PATIENT_PLANNER!P11="","",PATIENT_PLANNER!P11&amp;IF(OR(PATIENT_PLANNER!Q11="",ISNUMBER(SEARCH("Καθ",PATIENT_PLANNER!Q11))),""," ("&amp;PATIENT_PLANNER!Q11&amp;")"))</f>
        <v>10:45 (Τε-Πα)</v>
      </c>
      <c r="I11" s="18" t="str">
        <f>IF(PATIENT_PLANNER!R11="","",PATIENT_PLANNER!R11&amp;IF(OR(PATIENT_PLANNER!S11="",ISNUMBER(SEARCH("Καθ",PATIENT_PLANNER!S11))),""," ("&amp;PATIENT_PLANNER!S11&amp;")"))</f>
        <v/>
      </c>
      <c r="J11" s="19" t="str">
        <f>IF(PATIENT_PLANNER!T11="","",PATIENT_PLANNER!T11&amp;IF(OR(PATIENT_PLANNER!U11="",ISNUMBER(SEARCH("Καθ",PATIENT_PLANNER!U11))),""," ("&amp;PATIENT_PLANNER!U11&amp;")"))</f>
        <v/>
      </c>
      <c r="K11" s="14" t="str">
        <f>PATIENT_PLANNER!E11</f>
        <v>παρών</v>
      </c>
    </row>
    <row r="12" spans="1:12" ht="34.049999999999997" customHeight="1" x14ac:dyDescent="0.3">
      <c r="A12" s="14" t="str">
        <f>PATIENT_PLANNER!D12</f>
        <v>Ο</v>
      </c>
      <c r="B12" s="65" t="str">
        <f>PATIENT_PLANNER!B12</f>
        <v>B08</v>
      </c>
      <c r="C12" s="66" t="str">
        <f>PATIENT_PLANNER!C12</f>
        <v>ΓΩΓΟΥΛΑ</v>
      </c>
      <c r="D12" s="55" t="str">
        <f>IF(PATIENT_PLANNER!F12="","",IF(ISNUMBER(PATIENT_PLANNER!F12),TEXT(PATIENT_PLANNER!F12,"ω:λλ"),PATIENT_PLANNER!F12)&amp;IF(OR(PATIENT_PLANNER!G12="",ISNUMBER(SEARCH("Καθ",PATIENT_PLANNER!G12))),"",
" ("&amp;PATIENT_PLANNER!G12&amp;")")&amp;IF(PATIENT_PLANNER!H12&lt;&gt;"",CHAR(10)&amp;PATIENT_PLANNER!H12,""))</f>
        <v>10:45
Σκαρώνης</v>
      </c>
      <c r="E12" s="15" t="str">
        <f>IF(PATIENT_PLANNER!I12="","",IF(ISNUMBER(PATIENT_PLANNER!I12),TEXT(PATIENT_PLANNER!I12,"ω:λλ"),PATIENT_PLANNER!I12)&amp;IF(OR(PATIENT_PLANNER!J12="",ISNUMBER(SEARCH("Καθ",PATIENT_PLANNER!J12))),"",
" ("&amp;PATIENT_PLANNER!J12&amp;")")&amp;IF(PATIENT_PLANNER!K12&lt;&gt;"",CHAR(10)&amp;PATIENT_PLANNER!K12,""))</f>
        <v/>
      </c>
      <c r="F12" s="16" t="str">
        <f>IF(PATIENT_PLANNER!N12="","",PATIENT_PLANNER!N12&amp;IF(OR(PATIENT_PLANNER!O12="",ISNUMBER(SEARCH("Καθ",PATIENT_PLANNER!O12))),""," ("&amp;PATIENT_PLANNER!O12&amp;")"))</f>
        <v/>
      </c>
      <c r="G12" s="16" t="str">
        <f>IF(PATIENT_PLANNER!L12="","",PATIENT_PLANNER!L12&amp;IF(OR(PATIENT_PLANNER!M12="",ISNUMBER(SEARCH("Καθ",PATIENT_PLANNER!M12))),""," ("&amp;PATIENT_PLANNER!M12&amp;")"))</f>
        <v/>
      </c>
      <c r="H12" s="17" t="str">
        <f>IF(PATIENT_PLANNER!P12="","",PATIENT_PLANNER!P12&amp;IF(OR(PATIENT_PLANNER!Q12="",ISNUMBER(SEARCH("Καθ",PATIENT_PLANNER!Q12))),""," ("&amp;PATIENT_PLANNER!Q12&amp;")"))</f>
        <v/>
      </c>
      <c r="I12" s="18" t="str">
        <f>IF(PATIENT_PLANNER!R12="","",PATIENT_PLANNER!R12&amp;IF(OR(PATIENT_PLANNER!S12="",ISNUMBER(SEARCH("Καθ",PATIENT_PLANNER!S12))),""," ("&amp;PATIENT_PLANNER!S12&amp;")"))</f>
        <v/>
      </c>
      <c r="J12" s="19" t="str">
        <f>IF(PATIENT_PLANNER!T12="","",PATIENT_PLANNER!T12&amp;IF(OR(PATIENT_PLANNER!U12="",ISNUMBER(SEARCH("Καθ",PATIENT_PLANNER!U12))),""," ("&amp;PATIENT_PLANNER!U12&amp;")"))</f>
        <v/>
      </c>
      <c r="K12" s="14" t="str">
        <f>PATIENT_PLANNER!E12</f>
        <v>παρών</v>
      </c>
    </row>
    <row r="13" spans="1:12" ht="34.049999999999997" customHeight="1" x14ac:dyDescent="0.3">
      <c r="A13" s="14" t="str">
        <f>PATIENT_PLANNER!D13</f>
        <v>Ο</v>
      </c>
      <c r="B13" s="65" t="str">
        <f>PATIENT_PLANNER!B13</f>
        <v>A05</v>
      </c>
      <c r="C13" s="66" t="str">
        <f>PATIENT_PLANNER!C13</f>
        <v>ΓΙΑΝΝΙΑ</v>
      </c>
      <c r="D13" s="55" t="str">
        <f>IF(PATIENT_PLANNER!F13="","",IF(ISNUMBER(PATIENT_PLANNER!F13),TEXT(PATIENT_PLANNER!F13,"ω:λλ"),PATIENT_PLANNER!F13)&amp;IF(OR(PATIENT_PLANNER!G13="",ISNUMBER(SEARCH("Καθ",PATIENT_PLANNER!G13))),"",
" ("&amp;PATIENT_PLANNER!G13&amp;")")&amp;IF(PATIENT_PLANNER!H13&lt;&gt;"",CHAR(10)&amp;PATIENT_PLANNER!H13,""))</f>
        <v>12:15
Σάκκου</v>
      </c>
      <c r="E13" s="15" t="str">
        <f>IF(PATIENT_PLANNER!I13="","",IF(ISNUMBER(PATIENT_PLANNER!I13),TEXT(PATIENT_PLANNER!I13,"ω:λλ"),PATIENT_PLANNER!I13)&amp;IF(OR(PATIENT_PLANNER!J13="",ISNUMBER(SEARCH("Καθ",PATIENT_PLANNER!J13))),"",
" ("&amp;PATIENT_PLANNER!J13&amp;")")&amp;IF(PATIENT_PLANNER!K13&lt;&gt;"",CHAR(10)&amp;PATIENT_PLANNER!K13,""))</f>
        <v>8:30 (Τρ-Πε-Πα)
Σάκκου</v>
      </c>
      <c r="F13" s="16" t="str">
        <f>IF(PATIENT_PLANNER!N13="","",PATIENT_PLANNER!N13&amp;IF(OR(PATIENT_PLANNER!O13="",ISNUMBER(SEARCH("Καθ",PATIENT_PLANNER!O13))),""," ("&amp;PATIENT_PLANNER!O13&amp;")"))</f>
        <v/>
      </c>
      <c r="G13" s="16" t="str">
        <f>IF(PATIENT_PLANNER!L13="","",PATIENT_PLANNER!L13&amp;IF(OR(PATIENT_PLANNER!M13="",ISNUMBER(SEARCH("Καθ",PATIENT_PLANNER!M13))),""," ("&amp;PATIENT_PLANNER!M13&amp;")"))</f>
        <v/>
      </c>
      <c r="H13" s="17" t="str">
        <f>IF(PATIENT_PLANNER!P13="","",PATIENT_PLANNER!P13&amp;IF(OR(PATIENT_PLANNER!Q13="",ISNUMBER(SEARCH("Καθ",PATIENT_PLANNER!Q13))),""," ("&amp;PATIENT_PLANNER!Q13&amp;")"))</f>
        <v>9:15</v>
      </c>
      <c r="I13" s="18" t="str">
        <f>IF(PATIENT_PLANNER!R13="","",PATIENT_PLANNER!R13&amp;IF(OR(PATIENT_PLANNER!S13="",ISNUMBER(SEARCH("Καθ",PATIENT_PLANNER!S13))),""," ("&amp;PATIENT_PLANNER!S13&amp;")"))</f>
        <v/>
      </c>
      <c r="J13" s="19" t="str">
        <f>IF(PATIENT_PLANNER!T13="","",PATIENT_PLANNER!T13&amp;IF(OR(PATIENT_PLANNER!U13="",ISNUMBER(SEARCH("Καθ",PATIENT_PLANNER!U13))),""," ("&amp;PATIENT_PLANNER!U13&amp;")"))</f>
        <v>8:30 (Τρ-Πε-Πα)</v>
      </c>
      <c r="K13" s="14" t="str">
        <f>PATIENT_PLANNER!E13</f>
        <v>παρών</v>
      </c>
    </row>
    <row r="14" spans="1:12" ht="34.049999999999997" customHeight="1" x14ac:dyDescent="0.3">
      <c r="A14" s="14" t="str">
        <f>PATIENT_PLANNER!D14</f>
        <v>Ο</v>
      </c>
      <c r="B14" s="65" t="str">
        <f>PATIENT_PLANNER!B14</f>
        <v>A05</v>
      </c>
      <c r="C14" s="66" t="str">
        <f>PATIENT_PLANNER!C14</f>
        <v>ΠΟΠΟΥΛΙΔΟΥ</v>
      </c>
      <c r="D14" s="55" t="str">
        <f>IF(PATIENT_PLANNER!F14="","",IF(ISNUMBER(PATIENT_PLANNER!F14),TEXT(PATIENT_PLANNER!F14,"ω:λλ"),PATIENT_PLANNER!F14)&amp;IF(OR(PATIENT_PLANNER!G14="",ISNUMBER(SEARCH("Καθ",PATIENT_PLANNER!G14))),"",
" ("&amp;PATIENT_PLANNER!G14&amp;")")&amp;IF(PATIENT_PLANNER!H14&lt;&gt;"",CHAR(10)&amp;PATIENT_PLANNER!H14,""))</f>
        <v>8:30
Παπαμάνου</v>
      </c>
      <c r="E14" s="15" t="str">
        <f>IF(PATIENT_PLANNER!I14="","",IF(ISNUMBER(PATIENT_PLANNER!I14),TEXT(PATIENT_PLANNER!I14,"ω:λλ"),PATIENT_PLANNER!I14)&amp;IF(OR(PATIENT_PLANNER!J14="",ISNUMBER(SEARCH("Καθ",PATIENT_PLANNER!J14))),"",
" ("&amp;PATIENT_PLANNER!J14&amp;")")&amp;IF(PATIENT_PLANNER!K14&lt;&gt;"",CHAR(10)&amp;PATIENT_PLANNER!K14,""))</f>
        <v/>
      </c>
      <c r="F14" s="16" t="str">
        <f>IF(PATIENT_PLANNER!N14="","",PATIENT_PLANNER!N14&amp;IF(OR(PATIENT_PLANNER!O14="",ISNUMBER(SEARCH("Καθ",PATIENT_PLANNER!O14))),""," ("&amp;PATIENT_PLANNER!O14&amp;")"))</f>
        <v/>
      </c>
      <c r="G14" s="16" t="str">
        <f>IF(PATIENT_PLANNER!L14="","",PATIENT_PLANNER!L14&amp;IF(OR(PATIENT_PLANNER!M14="",ISNUMBER(SEARCH("Καθ",PATIENT_PLANNER!M14))),""," ("&amp;PATIENT_PLANNER!M14&amp;")"))</f>
        <v/>
      </c>
      <c r="H14" s="17" t="str">
        <f>IF(PATIENT_PLANNER!P14="","",PATIENT_PLANNER!P14&amp;IF(OR(PATIENT_PLANNER!Q14="",ISNUMBER(SEARCH("Καθ",PATIENT_PLANNER!Q14))),""," ("&amp;PATIENT_PLANNER!Q14&amp;")"))</f>
        <v>9:15 (Τρ-Πε)</v>
      </c>
      <c r="I14" s="18" t="str">
        <f>IF(PATIENT_PLANNER!R14="","",PATIENT_PLANNER!R14&amp;IF(OR(PATIENT_PLANNER!S14="",ISNUMBER(SEARCH("Καθ",PATIENT_PLANNER!S14))),""," ("&amp;PATIENT_PLANNER!S14&amp;")"))</f>
        <v/>
      </c>
      <c r="J14" s="19" t="str">
        <f>IF(PATIENT_PLANNER!T14="","",PATIENT_PLANNER!T14&amp;IF(OR(PATIENT_PLANNER!U14="",ISNUMBER(SEARCH("Καθ",PATIENT_PLANNER!U14))),""," ("&amp;PATIENT_PLANNER!U14&amp;")"))</f>
        <v/>
      </c>
      <c r="K14" s="14" t="str">
        <f>PATIENT_PLANNER!E14</f>
        <v>παρών</v>
      </c>
    </row>
    <row r="15" spans="1:12" ht="34.049999999999997" customHeight="1" x14ac:dyDescent="0.3">
      <c r="A15" s="14" t="str">
        <f>PATIENT_PLANNER!D15</f>
        <v>Ο</v>
      </c>
      <c r="B15" s="65" t="str">
        <f>PATIENT_PLANNER!B15</f>
        <v>A05</v>
      </c>
      <c r="C15" s="66" t="str">
        <f>PATIENT_PLANNER!C15</f>
        <v>ΣΑΒΒΑΚΗ</v>
      </c>
      <c r="D15" s="55" t="str">
        <f>IF(PATIENT_PLANNER!F15="","",IF(ISNUMBER(PATIENT_PLANNER!F15),TEXT(PATIENT_PLANNER!F15,"ω:λλ"),PATIENT_PLANNER!F15)&amp;IF(OR(PATIENT_PLANNER!G15="",ISNUMBER(SEARCH("Καθ",PATIENT_PLANNER!G15))),"",
" ("&amp;PATIENT_PLANNER!G15&amp;")")&amp;IF(PATIENT_PLANNER!H15&lt;&gt;"",CHAR(10)&amp;PATIENT_PLANNER!H15,""))</f>
        <v>10:45
Σάρρας</v>
      </c>
      <c r="E15" s="15" t="str">
        <f>IF(PATIENT_PLANNER!I15="","",IF(ISNUMBER(PATIENT_PLANNER!I15),TEXT(PATIENT_PLANNER!I15,"ω:λλ"),PATIENT_PLANNER!I15)&amp;IF(OR(PATIENT_PLANNER!J15="",ISNUMBER(SEARCH("Καθ",PATIENT_PLANNER!J15))),"",
" ("&amp;PATIENT_PLANNER!J15&amp;")")&amp;IF(PATIENT_PLANNER!K15&lt;&gt;"",CHAR(10)&amp;PATIENT_PLANNER!K15,""))</f>
        <v/>
      </c>
      <c r="F15" s="16" t="str">
        <f>IF(PATIENT_PLANNER!N15="","",PATIENT_PLANNER!N15&amp;IF(OR(PATIENT_PLANNER!O15="",ISNUMBER(SEARCH("Καθ",PATIENT_PLANNER!O15))),""," ("&amp;PATIENT_PLANNER!O15&amp;")"))</f>
        <v/>
      </c>
      <c r="G15" s="16" t="str">
        <f>IF(PATIENT_PLANNER!L15="","",PATIENT_PLANNER!L15&amp;IF(OR(PATIENT_PLANNER!M15="",ISNUMBER(SEARCH("Καθ",PATIENT_PLANNER!M15))),""," ("&amp;PATIENT_PLANNER!M15&amp;")"))</f>
        <v/>
      </c>
      <c r="H15" s="17" t="str">
        <f>IF(PATIENT_PLANNER!P15="","",PATIENT_PLANNER!P15&amp;IF(OR(PATIENT_PLANNER!Q15="",ISNUMBER(SEARCH("Καθ",PATIENT_PLANNER!Q15))),""," ("&amp;PATIENT_PLANNER!Q15&amp;")"))</f>
        <v>9:15 (Τρ-Πε)</v>
      </c>
      <c r="I15" s="18" t="str">
        <f>IF(PATIENT_PLANNER!R15="","",PATIENT_PLANNER!R15&amp;IF(OR(PATIENT_PLANNER!S15="",ISNUMBER(SEARCH("Καθ",PATIENT_PLANNER!S15))),""," ("&amp;PATIENT_PLANNER!S15&amp;")"))</f>
        <v/>
      </c>
      <c r="J15" s="19" t="str">
        <f>IF(PATIENT_PLANNER!T15="","",PATIENT_PLANNER!T15&amp;IF(OR(PATIENT_PLANNER!U15="",ISNUMBER(SEARCH("Καθ",PATIENT_PLANNER!U15))),""," ("&amp;PATIENT_PLANNER!U15&amp;")"))</f>
        <v/>
      </c>
      <c r="K15" s="14" t="str">
        <f>PATIENT_PLANNER!E15</f>
        <v>παρών</v>
      </c>
    </row>
    <row r="16" spans="1:12" ht="34.049999999999997" customHeight="1" x14ac:dyDescent="0.3">
      <c r="A16" s="14" t="str">
        <f>PATIENT_PLANNER!D16</f>
        <v>Ο</v>
      </c>
      <c r="B16" s="65" t="str">
        <f>PATIENT_PLANNER!B16</f>
        <v>A07</v>
      </c>
      <c r="C16" s="66" t="str">
        <f>PATIENT_PLANNER!C16</f>
        <v>ΖΕΑΚΗ</v>
      </c>
      <c r="D16" s="55" t="str">
        <f>IF(PATIENT_PLANNER!F16="","",IF(ISNUMBER(PATIENT_PLANNER!F16),TEXT(PATIENT_PLANNER!F16,"ω:λλ"),PATIENT_PLANNER!F16)&amp;IF(OR(PATIENT_PLANNER!G16="",ISNUMBER(SEARCH("Καθ",PATIENT_PLANNER!G16))),"",
" ("&amp;PATIENT_PLANNER!G16&amp;")")&amp;IF(PATIENT_PLANNER!H16&lt;&gt;"",CHAR(10)&amp;PATIENT_PLANNER!H16,""))</f>
        <v>11:30</v>
      </c>
      <c r="E16" s="15" t="str">
        <f>IF(PATIENT_PLANNER!I16="","",IF(ISNUMBER(PATIENT_PLANNER!I16),TEXT(PATIENT_PLANNER!I16,"ω:λλ"),PATIENT_PLANNER!I16)&amp;IF(OR(PATIENT_PLANNER!J16="",ISNUMBER(SEARCH("Καθ",PATIENT_PLANNER!J16))),"",
" ("&amp;PATIENT_PLANNER!J16&amp;")")&amp;IF(PATIENT_PLANNER!K16&lt;&gt;"",CHAR(10)&amp;PATIENT_PLANNER!K16,""))</f>
        <v/>
      </c>
      <c r="F16" s="16" t="str">
        <f>IF(PATIENT_PLANNER!N16="","",PATIENT_PLANNER!N16&amp;IF(OR(PATIENT_PLANNER!O16="",ISNUMBER(SEARCH("Καθ",PATIENT_PLANNER!O16))),""," ("&amp;PATIENT_PLANNER!O16&amp;")"))</f>
        <v/>
      </c>
      <c r="G16" s="16" t="str">
        <f>IF(PATIENT_PLANNER!L16="","",PATIENT_PLANNER!L16&amp;IF(OR(PATIENT_PLANNER!M16="",ISNUMBER(SEARCH("Καθ",PATIENT_PLANNER!M16))),""," ("&amp;PATIENT_PLANNER!M16&amp;")"))</f>
        <v/>
      </c>
      <c r="H16" s="17" t="str">
        <f>IF(PATIENT_PLANNER!P16="","",PATIENT_PLANNER!P16&amp;IF(OR(PATIENT_PLANNER!Q16="",ISNUMBER(SEARCH("Καθ",PATIENT_PLANNER!Q16))),""," ("&amp;PATIENT_PLANNER!Q16&amp;")"))</f>
        <v>9:15</v>
      </c>
      <c r="I16" s="18" t="str">
        <f>IF(PATIENT_PLANNER!R16="","",PATIENT_PLANNER!R16&amp;IF(OR(PATIENT_PLANNER!S16="",ISNUMBER(SEARCH("Καθ",PATIENT_PLANNER!S16))),""," ("&amp;PATIENT_PLANNER!S16&amp;")"))</f>
        <v/>
      </c>
      <c r="J16" s="19" t="str">
        <f>IF(PATIENT_PLANNER!T16="","",PATIENT_PLANNER!T16&amp;IF(OR(PATIENT_PLANNER!U16="",ISNUMBER(SEARCH("Καθ",PATIENT_PLANNER!U16))),""," ("&amp;PATIENT_PLANNER!U16&amp;")"))</f>
        <v>8:30 (Τε-Πα)</v>
      </c>
      <c r="K16" s="14" t="str">
        <f>PATIENT_PLANNER!E16</f>
        <v>προσωρινό εξιτήριο</v>
      </c>
    </row>
    <row r="17" spans="1:11" ht="34.049999999999997" customHeight="1" x14ac:dyDescent="0.3">
      <c r="A17" s="14" t="str">
        <f>PATIENT_PLANNER!D17</f>
        <v>Ο</v>
      </c>
      <c r="B17" s="65" t="str">
        <f>PATIENT_PLANNER!B17</f>
        <v>A07</v>
      </c>
      <c r="C17" s="66" t="str">
        <f>PATIENT_PLANNER!C17</f>
        <v>ΚΑΜΙΝΑΡΗ ΚΩΝ</v>
      </c>
      <c r="D17" s="55" t="str">
        <f>IF(PATIENT_PLANNER!F17="","",IF(ISNUMBER(PATIENT_PLANNER!F17),TEXT(PATIENT_PLANNER!F17,"ω:λλ"),PATIENT_PLANNER!F17)&amp;IF(OR(PATIENT_PLANNER!G17="",ISNUMBER(SEARCH("Καθ",PATIENT_PLANNER!G17))),"",
" ("&amp;PATIENT_PLANNER!G17&amp;")")&amp;IF(PATIENT_PLANNER!H17&lt;&gt;"",CHAR(10)&amp;PATIENT_PLANNER!H17,""))</f>
        <v>13:00
Αργέντος</v>
      </c>
      <c r="E17" s="15" t="str">
        <f>IF(PATIENT_PLANNER!I17="","",IF(ISNUMBER(PATIENT_PLANNER!I17),TEXT(PATIENT_PLANNER!I17,"ω:λλ"),PATIENT_PLANNER!I17)&amp;IF(OR(PATIENT_PLANNER!J17="",ISNUMBER(SEARCH("Καθ",PATIENT_PLANNER!J17))),"",
" ("&amp;PATIENT_PLANNER!J17&amp;")")&amp;IF(PATIENT_PLANNER!K17&lt;&gt;"",CHAR(10)&amp;PATIENT_PLANNER!K17,""))</f>
        <v/>
      </c>
      <c r="F17" s="16" t="str">
        <f>IF(PATIENT_PLANNER!N17="","",PATIENT_PLANNER!N17&amp;IF(OR(PATIENT_PLANNER!O17="",ISNUMBER(SEARCH("Καθ",PATIENT_PLANNER!O17))),""," ("&amp;PATIENT_PLANNER!O17&amp;")"))</f>
        <v/>
      </c>
      <c r="G17" s="16" t="str">
        <f>IF(PATIENT_PLANNER!L17="","",PATIENT_PLANNER!L17&amp;IF(OR(PATIENT_PLANNER!M17="",ISNUMBER(SEARCH("Καθ",PATIENT_PLANNER!M17))),""," ("&amp;PATIENT_PLANNER!M17&amp;")"))</f>
        <v/>
      </c>
      <c r="H17" s="17" t="str">
        <f>IF(PATIENT_PLANNER!P17="","",PATIENT_PLANNER!P17&amp;IF(OR(PATIENT_PLANNER!Q17="",ISNUMBER(SEARCH("Καθ",PATIENT_PLANNER!Q17))),""," ("&amp;PATIENT_PLANNER!Q17&amp;")"))</f>
        <v>8:30 (Δε-Τε-Πα)</v>
      </c>
      <c r="I17" s="18" t="str">
        <f>IF(PATIENT_PLANNER!R17="","",PATIENT_PLANNER!R17&amp;IF(OR(PATIENT_PLANNER!S17="",ISNUMBER(SEARCH("Καθ",PATIENT_PLANNER!S17))),""," ("&amp;PATIENT_PLANNER!S17&amp;")"))</f>
        <v/>
      </c>
      <c r="J17" s="19" t="str">
        <f>IF(PATIENT_PLANNER!T17="","",PATIENT_PLANNER!T17&amp;IF(OR(PATIENT_PLANNER!U17="",ISNUMBER(SEARCH("Καθ",PATIENT_PLANNER!U17))),""," ("&amp;PATIENT_PLANNER!U17&amp;")"))</f>
        <v/>
      </c>
      <c r="K17" s="14" t="str">
        <f>PATIENT_PLANNER!E17</f>
        <v>παρών</v>
      </c>
    </row>
    <row r="18" spans="1:11" ht="34.049999999999997" customHeight="1" x14ac:dyDescent="0.3">
      <c r="A18" s="14" t="str">
        <f>PATIENT_PLANNER!D18</f>
        <v>Ο</v>
      </c>
      <c r="B18" s="65" t="str">
        <f>PATIENT_PLANNER!B18</f>
        <v>A07</v>
      </c>
      <c r="C18" s="66" t="str">
        <f>PATIENT_PLANNER!C18</f>
        <v>ΚΟΥΡΟΥΠΗ</v>
      </c>
      <c r="D18" s="55" t="str">
        <f>IF(PATIENT_PLANNER!F18="","",IF(ISNUMBER(PATIENT_PLANNER!F18),TEXT(PATIENT_PLANNER!F18,"ω:λλ"),PATIENT_PLANNER!F18)&amp;IF(OR(PATIENT_PLANNER!G18="",ISNUMBER(SEARCH("Καθ",PATIENT_PLANNER!G18))),"",
" ("&amp;PATIENT_PLANNER!G18&amp;")")&amp;IF(PATIENT_PLANNER!H18&lt;&gt;"",CHAR(10)&amp;PATIENT_PLANNER!H18,""))</f>
        <v>10:45
Παπακίτσου</v>
      </c>
      <c r="E18" s="15" t="str">
        <f>IF(PATIENT_PLANNER!I18="","",IF(ISNUMBER(PATIENT_PLANNER!I18),TEXT(PATIENT_PLANNER!I18,"ω:λλ"),PATIENT_PLANNER!I18)&amp;IF(OR(PATIENT_PLANNER!J18="",ISNUMBER(SEARCH("Καθ",PATIENT_PLANNER!J18))),"",
" ("&amp;PATIENT_PLANNER!J18&amp;")")&amp;IF(PATIENT_PLANNER!K18&lt;&gt;"",CHAR(10)&amp;PATIENT_PLANNER!K18,""))</f>
        <v/>
      </c>
      <c r="F18" s="16" t="str">
        <f>IF(PATIENT_PLANNER!N18="","",PATIENT_PLANNER!N18&amp;IF(OR(PATIENT_PLANNER!O18="",ISNUMBER(SEARCH("Καθ",PATIENT_PLANNER!O18))),""," ("&amp;PATIENT_PLANNER!O18&amp;")"))</f>
        <v/>
      </c>
      <c r="G18" s="16" t="str">
        <f>IF(PATIENT_PLANNER!L18="","",PATIENT_PLANNER!L18&amp;IF(OR(PATIENT_PLANNER!M18="",ISNUMBER(SEARCH("Καθ",PATIENT_PLANNER!M18))),""," ("&amp;PATIENT_PLANNER!M18&amp;")"))</f>
        <v/>
      </c>
      <c r="H18" s="17" t="str">
        <f>IF(PATIENT_PLANNER!P18="","",PATIENT_PLANNER!P18&amp;IF(OR(PATIENT_PLANNER!Q18="",ISNUMBER(SEARCH("Καθ",PATIENT_PLANNER!Q18))),""," ("&amp;PATIENT_PLANNER!Q18&amp;")"))</f>
        <v>12:15</v>
      </c>
      <c r="I18" s="18" t="str">
        <f>IF(PATIENT_PLANNER!R18="","",PATIENT_PLANNER!R18&amp;IF(OR(PATIENT_PLANNER!S18="",ISNUMBER(SEARCH("Καθ",PATIENT_PLANNER!S18))),""," ("&amp;PATIENT_PLANNER!S18&amp;")"))</f>
        <v/>
      </c>
      <c r="J18" s="19" t="str">
        <f>IF(PATIENT_PLANNER!T18="","",PATIENT_PLANNER!T18&amp;IF(OR(PATIENT_PLANNER!U18="",ISNUMBER(SEARCH("Καθ",PATIENT_PLANNER!U18))),""," ("&amp;PATIENT_PLANNER!U18&amp;")"))</f>
        <v/>
      </c>
      <c r="K18" s="14" t="str">
        <f>PATIENT_PLANNER!E18</f>
        <v>παρών</v>
      </c>
    </row>
    <row r="19" spans="1:11" ht="34.049999999999997" customHeight="1" x14ac:dyDescent="0.3">
      <c r="A19" s="14" t="str">
        <f>PATIENT_PLANNER!D19</f>
        <v>Ο</v>
      </c>
      <c r="B19" s="65" t="str">
        <f>PATIENT_PLANNER!B19</f>
        <v>A07</v>
      </c>
      <c r="C19" s="66" t="str">
        <f>PATIENT_PLANNER!C19</f>
        <v>ΚΟΥΤΣΑΒΛΗ</v>
      </c>
      <c r="D19" s="55" t="str">
        <f>IF(PATIENT_PLANNER!F19="","",IF(ISNUMBER(PATIENT_PLANNER!F19),TEXT(PATIENT_PLANNER!F19,"ω:λλ"),PATIENT_PLANNER!F19)&amp;IF(OR(PATIENT_PLANNER!G19="",ISNUMBER(SEARCH("Καθ",PATIENT_PLANNER!G19))),"",
" ("&amp;PATIENT_PLANNER!G19&amp;")")&amp;IF(PATIENT_PLANNER!H19&lt;&gt;"",CHAR(10)&amp;PATIENT_PLANNER!H19,""))</f>
        <v>9:15
Παπαμάνου</v>
      </c>
      <c r="E19" s="15" t="str">
        <f>IF(PATIENT_PLANNER!I19="","",IF(ISNUMBER(PATIENT_PLANNER!I19),TEXT(PATIENT_PLANNER!I19,"ω:λλ"),PATIENT_PLANNER!I19)&amp;IF(OR(PATIENT_PLANNER!J19="",ISNUMBER(SEARCH("Καθ",PATIENT_PLANNER!J19))),"",
" ("&amp;PATIENT_PLANNER!J19&amp;")")&amp;IF(PATIENT_PLANNER!K19&lt;&gt;"",CHAR(10)&amp;PATIENT_PLANNER!K19,""))</f>
        <v/>
      </c>
      <c r="F19" s="16" t="str">
        <f>IF(PATIENT_PLANNER!N19="","",PATIENT_PLANNER!N19&amp;IF(OR(PATIENT_PLANNER!O19="",ISNUMBER(SEARCH("Καθ",PATIENT_PLANNER!O19))),""," ("&amp;PATIENT_PLANNER!O19&amp;")"))</f>
        <v/>
      </c>
      <c r="G19" s="16" t="str">
        <f>IF(PATIENT_PLANNER!L19="","",PATIENT_PLANNER!L19&amp;IF(OR(PATIENT_PLANNER!M19="",ISNUMBER(SEARCH("Καθ",PATIENT_PLANNER!M19))),""," ("&amp;PATIENT_PLANNER!M19&amp;")"))</f>
        <v/>
      </c>
      <c r="H19" s="17" t="str">
        <f>IF(PATIENT_PLANNER!P19="","",PATIENT_PLANNER!P19&amp;IF(OR(PATIENT_PLANNER!Q19="",ISNUMBER(SEARCH("Καθ",PATIENT_PLANNER!Q19))),""," ("&amp;PATIENT_PLANNER!Q19&amp;")"))</f>
        <v>11:30</v>
      </c>
      <c r="I19" s="18" t="str">
        <f>IF(PATIENT_PLANNER!R19="","",PATIENT_PLANNER!R19&amp;IF(OR(PATIENT_PLANNER!S19="",ISNUMBER(SEARCH("Καθ",PATIENT_PLANNER!S19))),""," ("&amp;PATIENT_PLANNER!S19&amp;")"))</f>
        <v>10:45 (Δε-Τε-Πε)</v>
      </c>
      <c r="J19" s="19" t="str">
        <f>IF(PATIENT_PLANNER!T19="","",PATIENT_PLANNER!T19&amp;IF(OR(PATIENT_PLANNER!U19="",ISNUMBER(SEARCH("Καθ",PATIENT_PLANNER!U19))),""," ("&amp;PATIENT_PLANNER!U19&amp;")"))</f>
        <v/>
      </c>
      <c r="K19" s="14" t="str">
        <f>PATIENT_PLANNER!E19</f>
        <v>παρών</v>
      </c>
    </row>
    <row r="20" spans="1:11" ht="34.049999999999997" customHeight="1" x14ac:dyDescent="0.3">
      <c r="A20" s="14" t="str">
        <f>PATIENT_PLANNER!D20</f>
        <v>Ο</v>
      </c>
      <c r="B20" s="65" t="str">
        <f>PATIENT_PLANNER!B20</f>
        <v>A07</v>
      </c>
      <c r="C20" s="66" t="str">
        <f>PATIENT_PLANNER!C20</f>
        <v>ΜΠΟΛΛΗ</v>
      </c>
      <c r="D20" s="55" t="str">
        <f>IF(PATIENT_PLANNER!F20="","",IF(ISNUMBER(PATIENT_PLANNER!F20),TEXT(PATIENT_PLANNER!F20,"ω:λλ"),PATIENT_PLANNER!F20)&amp;IF(OR(PATIENT_PLANNER!G20="",ISNUMBER(SEARCH("Καθ",PATIENT_PLANNER!G20))),"",
" ("&amp;PATIENT_PLANNER!G20&amp;")")&amp;IF(PATIENT_PLANNER!H20&lt;&gt;"",CHAR(10)&amp;PATIENT_PLANNER!H20,""))</f>
        <v>8:30</v>
      </c>
      <c r="E20" s="15" t="str">
        <f>IF(PATIENT_PLANNER!I20="","",IF(ISNUMBER(PATIENT_PLANNER!I20),TEXT(PATIENT_PLANNER!I20,"ω:λλ"),PATIENT_PLANNER!I20)&amp;IF(OR(PATIENT_PLANNER!J20="",ISNUMBER(SEARCH("Καθ",PATIENT_PLANNER!J20))),"",
" ("&amp;PATIENT_PLANNER!J20&amp;")")&amp;IF(PATIENT_PLANNER!K20&lt;&gt;"",CHAR(10)&amp;PATIENT_PLANNER!K20,""))</f>
        <v/>
      </c>
      <c r="F20" s="16" t="str">
        <f>IF(PATIENT_PLANNER!N20="","",PATIENT_PLANNER!N20&amp;IF(OR(PATIENT_PLANNER!O20="",ISNUMBER(SEARCH("Καθ",PATIENT_PLANNER!O20))),""," ("&amp;PATIENT_PLANNER!O20&amp;")"))</f>
        <v/>
      </c>
      <c r="G20" s="16" t="str">
        <f>IF(PATIENT_PLANNER!L20="","",PATIENT_PLANNER!L20&amp;IF(OR(PATIENT_PLANNER!M20="",ISNUMBER(SEARCH("Καθ",PATIENT_PLANNER!M20))),""," ("&amp;PATIENT_PLANNER!M20&amp;")"))</f>
        <v/>
      </c>
      <c r="H20" s="17" t="str">
        <f>IF(PATIENT_PLANNER!P20="","",PATIENT_PLANNER!P20&amp;IF(OR(PATIENT_PLANNER!Q20="",ISNUMBER(SEARCH("Καθ",PATIENT_PLANNER!Q20))),""," ("&amp;PATIENT_PLANNER!Q20&amp;")"))</f>
        <v/>
      </c>
      <c r="I20" s="18" t="str">
        <f>IF(PATIENT_PLANNER!R20="","",PATIENT_PLANNER!R20&amp;IF(OR(PATIENT_PLANNER!S20="",ISNUMBER(SEARCH("Καθ",PATIENT_PLANNER!S20))),""," ("&amp;PATIENT_PLANNER!S20&amp;")"))</f>
        <v/>
      </c>
      <c r="J20" s="19" t="str">
        <f>IF(PATIENT_PLANNER!T20="","",PATIENT_PLANNER!T20&amp;IF(OR(PATIENT_PLANNER!U20="",ISNUMBER(SEARCH("Καθ",PATIENT_PLANNER!U20))),""," ("&amp;PATIENT_PLANNER!U20&amp;")"))</f>
        <v/>
      </c>
      <c r="K20" s="14" t="str">
        <f>PATIENT_PLANNER!E20</f>
        <v>παρών</v>
      </c>
    </row>
    <row r="21" spans="1:11" ht="34.049999999999997" customHeight="1" x14ac:dyDescent="0.3">
      <c r="A21" s="14" t="str">
        <f>PATIENT_PLANNER!D21</f>
        <v>Ο</v>
      </c>
      <c r="B21" s="65" t="str">
        <f>PATIENT_PLANNER!B21</f>
        <v>A08</v>
      </c>
      <c r="C21" s="66" t="str">
        <f>PATIENT_PLANNER!C21</f>
        <v>ΛΙΑΚΟΣ.</v>
      </c>
      <c r="D21" s="55" t="str">
        <f>IF(PATIENT_PLANNER!F21="","",IF(ISNUMBER(PATIENT_PLANNER!F21),TEXT(PATIENT_PLANNER!F21,"ω:λλ"),PATIENT_PLANNER!F21)&amp;IF(OR(PATIENT_PLANNER!G21="",ISNUMBER(SEARCH("Καθ",PATIENT_PLANNER!G21))),"",
" ("&amp;PATIENT_PLANNER!G21&amp;")")&amp;IF(PATIENT_PLANNER!H21&lt;&gt;"",CHAR(10)&amp;PATIENT_PLANNER!H21,""))</f>
        <v>11:30 (Τρ-Πε)
Κοσμίδης</v>
      </c>
      <c r="E21" s="15" t="str">
        <f>IF(PATIENT_PLANNER!I21="","",IF(ISNUMBER(PATIENT_PLANNER!I21),TEXT(PATIENT_PLANNER!I21,"ω:λλ"),PATIENT_PLANNER!I21)&amp;IF(OR(PATIENT_PLANNER!J21="",ISNUMBER(SEARCH("Καθ",PATIENT_PLANNER!J21))),"",
" ("&amp;PATIENT_PLANNER!J21&amp;")")&amp;IF(PATIENT_PLANNER!K21&lt;&gt;"",CHAR(10)&amp;PATIENT_PLANNER!K21,""))</f>
        <v/>
      </c>
      <c r="F21" s="16" t="str">
        <f>IF(PATIENT_PLANNER!N21="","",PATIENT_PLANNER!N21&amp;IF(OR(PATIENT_PLANNER!O21="",ISNUMBER(SEARCH("Καθ",PATIENT_PLANNER!O21))),""," ("&amp;PATIENT_PLANNER!O21&amp;")"))</f>
        <v/>
      </c>
      <c r="G21" s="16" t="str">
        <f>IF(PATIENT_PLANNER!L21="","",PATIENT_PLANNER!L21&amp;IF(OR(PATIENT_PLANNER!M21="",ISNUMBER(SEARCH("Καθ",PATIENT_PLANNER!M21))),""," ("&amp;PATIENT_PLANNER!M21&amp;")"))</f>
        <v/>
      </c>
      <c r="H21" s="17" t="str">
        <f>IF(PATIENT_PLANNER!P21="","",PATIENT_PLANNER!P21&amp;IF(OR(PATIENT_PLANNER!Q21="",ISNUMBER(SEARCH("Καθ",PATIENT_PLANNER!Q21))),""," ("&amp;PATIENT_PLANNER!Q21&amp;")"))</f>
        <v/>
      </c>
      <c r="I21" s="18" t="str">
        <f>IF(PATIENT_PLANNER!R21="","",PATIENT_PLANNER!R21&amp;IF(OR(PATIENT_PLANNER!S21="",ISNUMBER(SEARCH("Καθ",PATIENT_PLANNER!S21))),""," ("&amp;PATIENT_PLANNER!S21&amp;")"))</f>
        <v/>
      </c>
      <c r="J21" s="19" t="str">
        <f>IF(PATIENT_PLANNER!T21="","",PATIENT_PLANNER!T21&amp;IF(OR(PATIENT_PLANNER!U21="",ISNUMBER(SEARCH("Καθ",PATIENT_PLANNER!U21))),""," ("&amp;PATIENT_PLANNER!U21&amp;")"))</f>
        <v/>
      </c>
      <c r="K21" s="14" t="str">
        <f>PATIENT_PLANNER!E21</f>
        <v>παρών</v>
      </c>
    </row>
    <row r="22" spans="1:11" ht="34.049999999999997" customHeight="1" x14ac:dyDescent="0.3">
      <c r="A22" s="14" t="str">
        <f>PATIENT_PLANNER!D22</f>
        <v>Ο</v>
      </c>
      <c r="B22" s="65" t="str">
        <f>PATIENT_PLANNER!B22</f>
        <v>A08</v>
      </c>
      <c r="C22" s="66" t="str">
        <f>PATIENT_PLANNER!C22</f>
        <v>ΡΟΥΣΣΗΣ ΓΕΩ</v>
      </c>
      <c r="D22" s="55" t="str">
        <f>IF(PATIENT_PLANNER!F22="","",IF(ISNUMBER(PATIENT_PLANNER!F22),TEXT(PATIENT_PLANNER!F22,"ω:λλ"),PATIENT_PLANNER!F22)&amp;IF(OR(PATIENT_PLANNER!G22="",ISNUMBER(SEARCH("Καθ",PATIENT_PLANNER!G22))),"",
" ("&amp;PATIENT_PLANNER!G22&amp;")")&amp;IF(PATIENT_PLANNER!H22&lt;&gt;"",CHAR(10)&amp;PATIENT_PLANNER!H22,""))</f>
        <v>12:15 (Τρ-Πε)
Σκαρώνης</v>
      </c>
      <c r="E22" s="15" t="str">
        <f>IF(PATIENT_PLANNER!I22="","",IF(ISNUMBER(PATIENT_PLANNER!I22),TEXT(PATIENT_PLANNER!I22,"ω:λλ"),PATIENT_PLANNER!I22)&amp;IF(OR(PATIENT_PLANNER!J22="",ISNUMBER(SEARCH("Καθ",PATIENT_PLANNER!J22))),"",
" ("&amp;PATIENT_PLANNER!J22&amp;")")&amp;IF(PATIENT_PLANNER!K22&lt;&gt;"",CHAR(10)&amp;PATIENT_PLANNER!K22,""))</f>
        <v/>
      </c>
      <c r="F22" s="16" t="str">
        <f>IF(PATIENT_PLANNER!N22="","",PATIENT_PLANNER!N22&amp;IF(OR(PATIENT_PLANNER!O22="",ISNUMBER(SEARCH("Καθ",PATIENT_PLANNER!O22))),""," ("&amp;PATIENT_PLANNER!O22&amp;")"))</f>
        <v/>
      </c>
      <c r="G22" s="16" t="str">
        <f>IF(PATIENT_PLANNER!L22="","",PATIENT_PLANNER!L22&amp;IF(OR(PATIENT_PLANNER!M22="",ISNUMBER(SEARCH("Καθ",PATIENT_PLANNER!M22))),""," ("&amp;PATIENT_PLANNER!M22&amp;")"))</f>
        <v/>
      </c>
      <c r="H22" s="17" t="str">
        <f>IF(PATIENT_PLANNER!P22="","",PATIENT_PLANNER!P22&amp;IF(OR(PATIENT_PLANNER!Q22="",ISNUMBER(SEARCH("Καθ",PATIENT_PLANNER!Q22))),""," ("&amp;PATIENT_PLANNER!Q22&amp;")"))</f>
        <v/>
      </c>
      <c r="I22" s="18" t="str">
        <f>IF(PATIENT_PLANNER!R22="","",PATIENT_PLANNER!R22&amp;IF(OR(PATIENT_PLANNER!S22="",ISNUMBER(SEARCH("Καθ",PATIENT_PLANNER!S22))),""," ("&amp;PATIENT_PLANNER!S22&amp;")"))</f>
        <v/>
      </c>
      <c r="J22" s="19" t="str">
        <f>IF(PATIENT_PLANNER!T22="","",PATIENT_PLANNER!T22&amp;IF(OR(PATIENT_PLANNER!U22="",ISNUMBER(SEARCH("Καθ",PATIENT_PLANNER!U22))),""," ("&amp;PATIENT_PLANNER!U22&amp;")"))</f>
        <v/>
      </c>
      <c r="K22" s="14" t="str">
        <f>PATIENT_PLANNER!E22</f>
        <v>παρών</v>
      </c>
    </row>
    <row r="23" spans="1:11" ht="34.049999999999997" customHeight="1" x14ac:dyDescent="0.3">
      <c r="A23" s="14" t="str">
        <f>PATIENT_PLANNER!D23</f>
        <v>Ο</v>
      </c>
      <c r="B23" s="65" t="str">
        <f>PATIENT_PLANNER!B23</f>
        <v>A08</v>
      </c>
      <c r="C23" s="66" t="str">
        <f>PATIENT_PLANNER!C23</f>
        <v>ΣΑΚΕΡΛΗΣ</v>
      </c>
      <c r="D23" s="55" t="str">
        <f>IF(PATIENT_PLANNER!F23="","",IF(ISNUMBER(PATIENT_PLANNER!F23),TEXT(PATIENT_PLANNER!F23,"ω:λλ"),PATIENT_PLANNER!F23)&amp;IF(OR(PATIENT_PLANNER!G23="",ISNUMBER(SEARCH("Καθ",PATIENT_PLANNER!G23))),"",
" ("&amp;PATIENT_PLANNER!G23&amp;")")&amp;IF(PATIENT_PLANNER!H23&lt;&gt;"",CHAR(10)&amp;PATIENT_PLANNER!H23,""))</f>
        <v>13:00
Σκαρώνης</v>
      </c>
      <c r="E23" s="15" t="str">
        <f>IF(PATIENT_PLANNER!I23="","",IF(ISNUMBER(PATIENT_PLANNER!I23),TEXT(PATIENT_PLANNER!I23,"ω:λλ"),PATIENT_PLANNER!I23)&amp;IF(OR(PATIENT_PLANNER!J23="",ISNUMBER(SEARCH("Καθ",PATIENT_PLANNER!J23))),"",
" ("&amp;PATIENT_PLANNER!J23&amp;")")&amp;IF(PATIENT_PLANNER!K23&lt;&gt;"",CHAR(10)&amp;PATIENT_PLANNER!K23,""))</f>
        <v/>
      </c>
      <c r="F23" s="16" t="str">
        <f>IF(PATIENT_PLANNER!N23="","",PATIENT_PLANNER!N23&amp;IF(OR(PATIENT_PLANNER!O23="",ISNUMBER(SEARCH("Καθ",PATIENT_PLANNER!O23))),""," ("&amp;PATIENT_PLANNER!O23&amp;")"))</f>
        <v/>
      </c>
      <c r="G23" s="16" t="str">
        <f>IF(PATIENT_PLANNER!L23="","",PATIENT_PLANNER!L23&amp;IF(OR(PATIENT_PLANNER!M23="",ISNUMBER(SEARCH("Καθ",PATIENT_PLANNER!M23))),""," ("&amp;PATIENT_PLANNER!M23&amp;")"))</f>
        <v/>
      </c>
      <c r="H23" s="17" t="str">
        <f>IF(PATIENT_PLANNER!P23="","",PATIENT_PLANNER!P23&amp;IF(OR(PATIENT_PLANNER!Q23="",ISNUMBER(SEARCH("Καθ",PATIENT_PLANNER!Q23))),""," ("&amp;PATIENT_PLANNER!Q23&amp;")"))</f>
        <v>10:00 (Τρ-Πε)</v>
      </c>
      <c r="I23" s="18" t="str">
        <f>IF(PATIENT_PLANNER!R23="","",PATIENT_PLANNER!R23&amp;IF(OR(PATIENT_PLANNER!S23="",ISNUMBER(SEARCH("Καθ",PATIENT_PLANNER!S23))),""," ("&amp;PATIENT_PLANNER!S23&amp;")"))</f>
        <v/>
      </c>
      <c r="J23" s="19" t="str">
        <f>IF(PATIENT_PLANNER!T23="","",PATIENT_PLANNER!T23&amp;IF(OR(PATIENT_PLANNER!U23="",ISNUMBER(SEARCH("Καθ",PATIENT_PLANNER!U23))),""," ("&amp;PATIENT_PLANNER!U23&amp;")"))</f>
        <v/>
      </c>
      <c r="K23" s="14" t="str">
        <f>PATIENT_PLANNER!E23</f>
        <v>παρών</v>
      </c>
    </row>
    <row r="24" spans="1:11" ht="34.049999999999997" customHeight="1" x14ac:dyDescent="0.3">
      <c r="A24" s="14" t="str">
        <f>PATIENT_PLANNER!D24</f>
        <v>Ο</v>
      </c>
      <c r="B24" s="65" t="str">
        <f>PATIENT_PLANNER!B24</f>
        <v>A08</v>
      </c>
      <c r="C24" s="66" t="str">
        <f>PATIENT_PLANNER!C24</f>
        <v>ΣΙΩΤΟΣ</v>
      </c>
      <c r="D24" s="55" t="str">
        <f>IF(PATIENT_PLANNER!F24="","",IF(ISNUMBER(PATIENT_PLANNER!F24),TEXT(PATIENT_PLANNER!F24,"ω:λλ"),PATIENT_PLANNER!F24)&amp;IF(OR(PATIENT_PLANNER!G24="",ISNUMBER(SEARCH("Καθ",PATIENT_PLANNER!G24))),"",
" ("&amp;PATIENT_PLANNER!G24&amp;")")&amp;IF(PATIENT_PLANNER!H24&lt;&gt;"",CHAR(10)&amp;PATIENT_PLANNER!H24,""))</f>
        <v>12:15
Γουνελάς</v>
      </c>
      <c r="E24" s="15" t="str">
        <f>IF(PATIENT_PLANNER!I24="","",IF(ISNUMBER(PATIENT_PLANNER!I24),TEXT(PATIENT_PLANNER!I24,"ω:λλ"),PATIENT_PLANNER!I24)&amp;IF(OR(PATIENT_PLANNER!J24="",ISNUMBER(SEARCH("Καθ",PATIENT_PLANNER!J24))),"",
" ("&amp;PATIENT_PLANNER!J24&amp;")")&amp;IF(PATIENT_PLANNER!K24&lt;&gt;"",CHAR(10)&amp;PATIENT_PLANNER!K24,""))</f>
        <v/>
      </c>
      <c r="F24" s="16" t="str">
        <f>IF(PATIENT_PLANNER!N24="","",PATIENT_PLANNER!N24&amp;IF(OR(PATIENT_PLANNER!O24="",ISNUMBER(SEARCH("Καθ",PATIENT_PLANNER!O24))),""," ("&amp;PATIENT_PLANNER!O24&amp;")"))</f>
        <v/>
      </c>
      <c r="G24" s="16" t="str">
        <f>IF(PATIENT_PLANNER!L24="","",PATIENT_PLANNER!L24&amp;IF(OR(PATIENT_PLANNER!M24="",ISNUMBER(SEARCH("Καθ",PATIENT_PLANNER!M24))),""," ("&amp;PATIENT_PLANNER!M24&amp;")"))</f>
        <v/>
      </c>
      <c r="H24" s="17" t="str">
        <f>IF(PATIENT_PLANNER!P24="","",PATIENT_PLANNER!P24&amp;IF(OR(PATIENT_PLANNER!Q24="",ISNUMBER(SEARCH("Καθ",PATIENT_PLANNER!Q24))),""," ("&amp;PATIENT_PLANNER!Q24&amp;")"))</f>
        <v/>
      </c>
      <c r="I24" s="18" t="str">
        <f>IF(PATIENT_PLANNER!R24="","",PATIENT_PLANNER!R24&amp;IF(OR(PATIENT_PLANNER!S24="",ISNUMBER(SEARCH("Καθ",PATIENT_PLANNER!S24))),""," ("&amp;PATIENT_PLANNER!S24&amp;")"))</f>
        <v/>
      </c>
      <c r="J24" s="19" t="str">
        <f>IF(PATIENT_PLANNER!T24="","",PATIENT_PLANNER!T24&amp;IF(OR(PATIENT_PLANNER!U24="",ISNUMBER(SEARCH("Καθ",PATIENT_PLANNER!U24))),""," ("&amp;PATIENT_PLANNER!U24&amp;")"))</f>
        <v>11:30 (Τρ-Πε)</v>
      </c>
      <c r="K24" s="14" t="str">
        <f>PATIENT_PLANNER!E24</f>
        <v>παρών</v>
      </c>
    </row>
    <row r="25" spans="1:11" ht="34.049999999999997" customHeight="1" x14ac:dyDescent="0.3">
      <c r="A25" s="14" t="str">
        <f>PATIENT_PLANNER!D25</f>
        <v>Ο</v>
      </c>
      <c r="B25" s="65" t="str">
        <f>PATIENT_PLANNER!B25</f>
        <v>A08</v>
      </c>
      <c r="C25" s="66" t="str">
        <f>PATIENT_PLANNER!C25</f>
        <v>ΦΙΛΙΠΠΗΣ</v>
      </c>
      <c r="D25" s="55" t="str">
        <f>IF(PATIENT_PLANNER!F25="","",IF(ISNUMBER(PATIENT_PLANNER!F25),TEXT(PATIENT_PLANNER!F25,"ω:λλ"),PATIENT_PLANNER!F25)&amp;IF(OR(PATIENT_PLANNER!G25="",ISNUMBER(SEARCH("Καθ",PATIENT_PLANNER!G25))),"",
" ("&amp;PATIENT_PLANNER!G25&amp;")")&amp;IF(PATIENT_PLANNER!H25&lt;&gt;"",CHAR(10)&amp;PATIENT_PLANNER!H25,""))</f>
        <v>9:15 (Τρ-Πε)
Ψιάχου</v>
      </c>
      <c r="E25" s="15" t="str">
        <f>IF(PATIENT_PLANNER!I25="","",IF(ISNUMBER(PATIENT_PLANNER!I25),TEXT(PATIENT_PLANNER!I25,"ω:λλ"),PATIENT_PLANNER!I25)&amp;IF(OR(PATIENT_PLANNER!J25="",ISNUMBER(SEARCH("Καθ",PATIENT_PLANNER!J25))),"",
" ("&amp;PATIENT_PLANNER!J25&amp;")")&amp;IF(PATIENT_PLANNER!K25&lt;&gt;"",CHAR(10)&amp;PATIENT_PLANNER!K25,""))</f>
        <v/>
      </c>
      <c r="F25" s="16" t="str">
        <f>IF(PATIENT_PLANNER!N25="","",PATIENT_PLANNER!N25&amp;IF(OR(PATIENT_PLANNER!O25="",ISNUMBER(SEARCH("Καθ",PATIENT_PLANNER!O25))),""," ("&amp;PATIENT_PLANNER!O25&amp;")"))</f>
        <v/>
      </c>
      <c r="G25" s="16" t="str">
        <f>IF(PATIENT_PLANNER!L25="","",PATIENT_PLANNER!L25&amp;IF(OR(PATIENT_PLANNER!M25="",ISNUMBER(SEARCH("Καθ",PATIENT_PLANNER!M25))),""," ("&amp;PATIENT_PLANNER!M25&amp;")"))</f>
        <v/>
      </c>
      <c r="H25" s="17" t="str">
        <f>IF(PATIENT_PLANNER!P25="","",PATIENT_PLANNER!P25&amp;IF(OR(PATIENT_PLANNER!Q25="",ISNUMBER(SEARCH("Καθ",PATIENT_PLANNER!Q25))),""," ("&amp;PATIENT_PLANNER!Q25&amp;")"))</f>
        <v/>
      </c>
      <c r="I25" s="18" t="str">
        <f>IF(PATIENT_PLANNER!R25="","",PATIENT_PLANNER!R25&amp;IF(OR(PATIENT_PLANNER!S25="",ISNUMBER(SEARCH("Καθ",PATIENT_PLANNER!S25))),""," ("&amp;PATIENT_PLANNER!S25&amp;")"))</f>
        <v/>
      </c>
      <c r="J25" s="19" t="str">
        <f>IF(PATIENT_PLANNER!T25="","",PATIENT_PLANNER!T25&amp;IF(OR(PATIENT_PLANNER!U25="",ISNUMBER(SEARCH("Καθ",PATIENT_PLANNER!U25))),""," ("&amp;PATIENT_PLANNER!U25&amp;")"))</f>
        <v/>
      </c>
      <c r="K25" s="14" t="str">
        <f>PATIENT_PLANNER!E25</f>
        <v>παρών</v>
      </c>
    </row>
    <row r="26" spans="1:11" ht="34.049999999999997" customHeight="1" x14ac:dyDescent="0.3">
      <c r="A26" s="14" t="str">
        <f>PATIENT_PLANNER!D26</f>
        <v>Ο</v>
      </c>
      <c r="B26" s="65" t="str">
        <f>PATIENT_PLANNER!B26</f>
        <v>A09</v>
      </c>
      <c r="C26" s="66" t="str">
        <f>PATIENT_PLANNER!C26</f>
        <v>ΚΟΥΓΙΟΣ</v>
      </c>
      <c r="D26" s="55" t="str">
        <f>IF(PATIENT_PLANNER!F26="","",IF(ISNUMBER(PATIENT_PLANNER!F26),TEXT(PATIENT_PLANNER!F26,"ω:λλ"),PATIENT_PLANNER!F26)&amp;IF(OR(PATIENT_PLANNER!G26="",ISNUMBER(SEARCH("Καθ",PATIENT_PLANNER!G26))),"",
" ("&amp;PATIENT_PLANNER!G26&amp;")")&amp;IF(PATIENT_PLANNER!H26&lt;&gt;"",CHAR(10)&amp;PATIENT_PLANNER!H26,""))</f>
        <v/>
      </c>
      <c r="E26" s="15" t="str">
        <f>IF(PATIENT_PLANNER!I26="","",IF(ISNUMBER(PATIENT_PLANNER!I26),TEXT(PATIENT_PLANNER!I26,"ω:λλ"),PATIENT_PLANNER!I26)&amp;IF(OR(PATIENT_PLANNER!J26="",ISNUMBER(SEARCH("Καθ",PATIENT_PLANNER!J26))),"",
" ("&amp;PATIENT_PLANNER!J26&amp;")")&amp;IF(PATIENT_PLANNER!K26&lt;&gt;"",CHAR(10)&amp;PATIENT_PLANNER!K26,""))</f>
        <v/>
      </c>
      <c r="F26" s="16" t="str">
        <f>IF(PATIENT_PLANNER!N26="","",PATIENT_PLANNER!N26&amp;IF(OR(PATIENT_PLANNER!O26="",ISNUMBER(SEARCH("Καθ",PATIENT_PLANNER!O26))),""," ("&amp;PATIENT_PLANNER!O26&amp;")"))</f>
        <v/>
      </c>
      <c r="G26" s="16" t="str">
        <f>IF(PATIENT_PLANNER!L26="","",PATIENT_PLANNER!L26&amp;IF(OR(PATIENT_PLANNER!M26="",ISNUMBER(SEARCH("Καθ",PATIENT_PLANNER!M26))),""," ("&amp;PATIENT_PLANNER!M26&amp;")"))</f>
        <v/>
      </c>
      <c r="H26" s="17" t="str">
        <f>IF(PATIENT_PLANNER!P26="","",PATIENT_PLANNER!P26&amp;IF(OR(PATIENT_PLANNER!Q26="",ISNUMBER(SEARCH("Καθ",PATIENT_PLANNER!Q26))),""," ("&amp;PATIENT_PLANNER!Q26&amp;")"))</f>
        <v/>
      </c>
      <c r="I26" s="18" t="str">
        <f>IF(PATIENT_PLANNER!R26="","",PATIENT_PLANNER!R26&amp;IF(OR(PATIENT_PLANNER!S26="",ISNUMBER(SEARCH("Καθ",PATIENT_PLANNER!S26))),""," ("&amp;PATIENT_PLANNER!S26&amp;")"))</f>
        <v/>
      </c>
      <c r="J26" s="19" t="str">
        <f>IF(PATIENT_PLANNER!T26="","",PATIENT_PLANNER!T26&amp;IF(OR(PATIENT_PLANNER!U26="",ISNUMBER(SEARCH("Καθ",PATIENT_PLANNER!U26))),""," ("&amp;PATIENT_PLANNER!U26&amp;")"))</f>
        <v/>
      </c>
      <c r="K26" s="14" t="str">
        <f>PATIENT_PLANNER!E26</f>
        <v>αναβολή ΦΘ</v>
      </c>
    </row>
    <row r="27" spans="1:11" ht="34.049999999999997" customHeight="1" x14ac:dyDescent="0.3">
      <c r="A27" s="14" t="str">
        <f>PATIENT_PLANNER!D27</f>
        <v>Ο</v>
      </c>
      <c r="B27" s="65" t="str">
        <f>PATIENT_PLANNER!B27</f>
        <v>A09</v>
      </c>
      <c r="C27" s="66" t="str">
        <f>PATIENT_PLANNER!C27</f>
        <v>ΧΑΣΙΚΟΣ</v>
      </c>
      <c r="D27" s="55" t="str">
        <f>IF(PATIENT_PLANNER!F27="","",IF(ISNUMBER(PATIENT_PLANNER!F27),TEXT(PATIENT_PLANNER!F27,"ω:λλ"),PATIENT_PLANNER!F27)&amp;IF(OR(PATIENT_PLANNER!G27="",ISNUMBER(SEARCH("Καθ",PATIENT_PLANNER!G27))),"",
" ("&amp;PATIENT_PLANNER!G27&amp;")")&amp;IF(PATIENT_PLANNER!H27&lt;&gt;"",CHAR(10)&amp;PATIENT_PLANNER!H27,""))</f>
        <v>12:15
Παπακίτσου</v>
      </c>
      <c r="E27" s="15" t="str">
        <f>IF(PATIENT_PLANNER!I27="","",IF(ISNUMBER(PATIENT_PLANNER!I27),TEXT(PATIENT_PLANNER!I27,"ω:λλ"),PATIENT_PLANNER!I27)&amp;IF(OR(PATIENT_PLANNER!J27="",ISNUMBER(SEARCH("Καθ",PATIENT_PLANNER!J27))),"",
" ("&amp;PATIENT_PLANNER!J27&amp;")")&amp;IF(PATIENT_PLANNER!K27&lt;&gt;"",CHAR(10)&amp;PATIENT_PLANNER!K27,""))</f>
        <v/>
      </c>
      <c r="F27" s="16" t="str">
        <f>IF(PATIENT_PLANNER!N27="","",PATIENT_PLANNER!N27&amp;IF(OR(PATIENT_PLANNER!O27="",ISNUMBER(SEARCH("Καθ",PATIENT_PLANNER!O27))),""," ("&amp;PATIENT_PLANNER!O27&amp;")"))</f>
        <v/>
      </c>
      <c r="G27" s="16" t="str">
        <f>IF(PATIENT_PLANNER!L27="","",PATIENT_PLANNER!L27&amp;IF(OR(PATIENT_PLANNER!M27="",ISNUMBER(SEARCH("Καθ",PATIENT_PLANNER!M27))),""," ("&amp;PATIENT_PLANNER!M27&amp;")"))</f>
        <v/>
      </c>
      <c r="H27" s="17" t="str">
        <f>IF(PATIENT_PLANNER!P27="","",PATIENT_PLANNER!P27&amp;IF(OR(PATIENT_PLANNER!Q27="",ISNUMBER(SEARCH("Καθ",PATIENT_PLANNER!Q27))),""," ("&amp;PATIENT_PLANNER!Q27&amp;")"))</f>
        <v>10:45 (Δε-Τε-Πα)</v>
      </c>
      <c r="I27" s="18" t="str">
        <f>IF(PATIENT_PLANNER!R27="","",PATIENT_PLANNER!R27&amp;IF(OR(PATIENT_PLANNER!S27="",ISNUMBER(SEARCH("Καθ",PATIENT_PLANNER!S27))),""," ("&amp;PATIENT_PLANNER!S27&amp;")"))</f>
        <v/>
      </c>
      <c r="J27" s="19" t="str">
        <f>IF(PATIENT_PLANNER!T27="","",PATIENT_PLANNER!T27&amp;IF(OR(PATIENT_PLANNER!U27="",ISNUMBER(SEARCH("Καθ",PATIENT_PLANNER!U27))),""," ("&amp;PATIENT_PLANNER!U27&amp;")"))</f>
        <v/>
      </c>
      <c r="K27" s="14" t="str">
        <f>PATIENT_PLANNER!E27</f>
        <v>παρών</v>
      </c>
    </row>
    <row r="28" spans="1:11" ht="34.049999999999997" customHeight="1" x14ac:dyDescent="0.3">
      <c r="A28" s="14" t="str">
        <f>PATIENT_PLANNER!D28</f>
        <v>Ο</v>
      </c>
      <c r="B28" s="65" t="str">
        <f>PATIENT_PLANNER!B28</f>
        <v>A09</v>
      </c>
      <c r="C28" s="66" t="str">
        <f>PATIENT_PLANNER!C28</f>
        <v>ΧΑΤΖΗΧΡΗΣΤΟΣ</v>
      </c>
      <c r="D28" s="55" t="str">
        <f>IF(PATIENT_PLANNER!F28="","",IF(ISNUMBER(PATIENT_PLANNER!F28),TEXT(PATIENT_PLANNER!F28,"ω:λλ"),PATIENT_PLANNER!F28)&amp;IF(OR(PATIENT_PLANNER!G28="",ISNUMBER(SEARCH("Καθ",PATIENT_PLANNER!G28))),"",
" ("&amp;PATIENT_PLANNER!G28&amp;")")&amp;IF(PATIENT_PLANNER!H28&lt;&gt;"",CHAR(10)&amp;PATIENT_PLANNER!H28,""))</f>
        <v>8:30
Κοσμίδης</v>
      </c>
      <c r="E28" s="15" t="str">
        <f>IF(PATIENT_PLANNER!I28="","",IF(ISNUMBER(PATIENT_PLANNER!I28),TEXT(PATIENT_PLANNER!I28,"ω:λλ"),PATIENT_PLANNER!I28)&amp;IF(OR(PATIENT_PLANNER!J28="",ISNUMBER(SEARCH("Καθ",PATIENT_PLANNER!J28))),"",
" ("&amp;PATIENT_PLANNER!J28&amp;")")&amp;IF(PATIENT_PLANNER!K28&lt;&gt;"",CHAR(10)&amp;PATIENT_PLANNER!K28,""))</f>
        <v/>
      </c>
      <c r="F28" s="16" t="str">
        <f>IF(PATIENT_PLANNER!N28="","",PATIENT_PLANNER!N28&amp;IF(OR(PATIENT_PLANNER!O28="",ISNUMBER(SEARCH("Καθ",PATIENT_PLANNER!O28))),""," ("&amp;PATIENT_PLANNER!O28&amp;")"))</f>
        <v/>
      </c>
      <c r="G28" s="16" t="str">
        <f>IF(PATIENT_PLANNER!L28="","",PATIENT_PLANNER!L28&amp;IF(OR(PATIENT_PLANNER!M28="",ISNUMBER(SEARCH("Καθ",PATIENT_PLANNER!M28))),""," ("&amp;PATIENT_PLANNER!M28&amp;")"))</f>
        <v/>
      </c>
      <c r="H28" s="17" t="str">
        <f>IF(PATIENT_PLANNER!P28="","",PATIENT_PLANNER!P28&amp;IF(OR(PATIENT_PLANNER!Q28="",ISNUMBER(SEARCH("Καθ",PATIENT_PLANNER!Q28))),""," ("&amp;PATIENT_PLANNER!Q28&amp;")"))</f>
        <v>10:00 (Τρ-Πε)</v>
      </c>
      <c r="I28" s="18" t="str">
        <f>IF(PATIENT_PLANNER!R28="","",PATIENT_PLANNER!R28&amp;IF(OR(PATIENT_PLANNER!S28="",ISNUMBER(SEARCH("Καθ",PATIENT_PLANNER!S28))),""," ("&amp;PATIENT_PLANNER!S28&amp;")"))</f>
        <v/>
      </c>
      <c r="J28" s="19" t="str">
        <f>IF(PATIENT_PLANNER!T28="","",PATIENT_PLANNER!T28&amp;IF(OR(PATIENT_PLANNER!U28="",ISNUMBER(SEARCH("Καθ",PATIENT_PLANNER!U28))),""," ("&amp;PATIENT_PLANNER!U28&amp;")"))</f>
        <v/>
      </c>
      <c r="K28" s="14" t="str">
        <f>PATIENT_PLANNER!E28</f>
        <v>παρών</v>
      </c>
    </row>
    <row r="29" spans="1:11" ht="34.049999999999997" customHeight="1" x14ac:dyDescent="0.3">
      <c r="A29" s="14" t="str">
        <f>PATIENT_PLANNER!D29</f>
        <v>Ο</v>
      </c>
      <c r="B29" s="65" t="str">
        <f>PATIENT_PLANNER!B29</f>
        <v>A10</v>
      </c>
      <c r="C29" s="66" t="str">
        <f>PATIENT_PLANNER!C29</f>
        <v>ΖΑΧΑΡΙΑΔΟΥ</v>
      </c>
      <c r="D29" s="55" t="str">
        <f>IF(PATIENT_PLANNER!F29="","",IF(ISNUMBER(PATIENT_PLANNER!F29),TEXT(PATIENT_PLANNER!F29,"ω:λλ"),PATIENT_PLANNER!F29)&amp;IF(OR(PATIENT_PLANNER!G29="",ISNUMBER(SEARCH("Καθ",PATIENT_PLANNER!G29))),"",
" ("&amp;PATIENT_PLANNER!G29&amp;")")&amp;IF(PATIENT_PLANNER!H29&lt;&gt;"",CHAR(10)&amp;PATIENT_PLANNER!H29,""))</f>
        <v>10:00
Αργέντος</v>
      </c>
      <c r="E29" s="15" t="str">
        <f>IF(PATIENT_PLANNER!I29="","",IF(ISNUMBER(PATIENT_PLANNER!I29),TEXT(PATIENT_PLANNER!I29,"ω:λλ"),PATIENT_PLANNER!I29)&amp;IF(OR(PATIENT_PLANNER!J29="",ISNUMBER(SEARCH("Καθ",PATIENT_PLANNER!J29))),"",
" ("&amp;PATIENT_PLANNER!J29&amp;")")&amp;IF(PATIENT_PLANNER!K29&lt;&gt;"",CHAR(10)&amp;PATIENT_PLANNER!K29,""))</f>
        <v/>
      </c>
      <c r="F29" s="16" t="str">
        <f>IF(PATIENT_PLANNER!N29="","",PATIENT_PLANNER!N29&amp;IF(OR(PATIENT_PLANNER!O29="",ISNUMBER(SEARCH("Καθ",PATIENT_PLANNER!O29))),""," ("&amp;PATIENT_PLANNER!O29&amp;")"))</f>
        <v/>
      </c>
      <c r="G29" s="16" t="str">
        <f>IF(PATIENT_PLANNER!L29="","",PATIENT_PLANNER!L29&amp;IF(OR(PATIENT_PLANNER!M29="",ISNUMBER(SEARCH("Καθ",PATIENT_PLANNER!M29))),""," ("&amp;PATIENT_PLANNER!M29&amp;")"))</f>
        <v/>
      </c>
      <c r="H29" s="17" t="str">
        <f>IF(PATIENT_PLANNER!P29="","",PATIENT_PLANNER!P29&amp;IF(OR(PATIENT_PLANNER!Q29="",ISNUMBER(SEARCH("Καθ",PATIENT_PLANNER!Q29))),""," ("&amp;PATIENT_PLANNER!Q29&amp;")"))</f>
        <v>10:45 (Τρ-Πε)</v>
      </c>
      <c r="I29" s="18" t="str">
        <f>IF(PATIENT_PLANNER!R29="","",PATIENT_PLANNER!R29&amp;IF(OR(PATIENT_PLANNER!S29="",ISNUMBER(SEARCH("Καθ",PATIENT_PLANNER!S29))),""," ("&amp;PATIENT_PLANNER!S29&amp;")"))</f>
        <v/>
      </c>
      <c r="J29" s="19" t="str">
        <f>IF(PATIENT_PLANNER!T29="","",PATIENT_PLANNER!T29&amp;IF(OR(PATIENT_PLANNER!U29="",ISNUMBER(SEARCH("Καθ",PATIENT_PLANNER!U29))),""," ("&amp;PATIENT_PLANNER!U29&amp;")"))</f>
        <v>9:15 (Δε-Τε-Πε)</v>
      </c>
      <c r="K29" s="14" t="str">
        <f>PATIENT_PLANNER!E29</f>
        <v>παρών</v>
      </c>
    </row>
    <row r="30" spans="1:11" ht="34.049999999999997" customHeight="1" x14ac:dyDescent="0.3">
      <c r="A30" s="14" t="str">
        <f>PATIENT_PLANNER!D30</f>
        <v>Ο</v>
      </c>
      <c r="B30" s="65" t="str">
        <f>PATIENT_PLANNER!B30</f>
        <v>A10</v>
      </c>
      <c r="C30" s="66" t="str">
        <f>PATIENT_PLANNER!C30</f>
        <v>ΣΥΜΕΩΝΙΔΗ</v>
      </c>
      <c r="D30" s="55" t="str">
        <f>IF(PATIENT_PLANNER!F30="","",IF(ISNUMBER(PATIENT_PLANNER!F30),TEXT(PATIENT_PLANNER!F30,"ω:λλ"),PATIENT_PLANNER!F30)&amp;IF(OR(PATIENT_PLANNER!G30="",ISNUMBER(SEARCH("Καθ",PATIENT_PLANNER!G30))),"",
" ("&amp;PATIENT_PLANNER!G30&amp;")")&amp;IF(PATIENT_PLANNER!H30&lt;&gt;"",CHAR(10)&amp;PATIENT_PLANNER!H30,""))</f>
        <v>10:00
Μηλιδάκης</v>
      </c>
      <c r="E30" s="15" t="str">
        <f>IF(PATIENT_PLANNER!I30="","",IF(ISNUMBER(PATIENT_PLANNER!I30),TEXT(PATIENT_PLANNER!I30,"ω:λλ"),PATIENT_PLANNER!I30)&amp;IF(OR(PATIENT_PLANNER!J30="",ISNUMBER(SEARCH("Καθ",PATIENT_PLANNER!J30))),"",
" ("&amp;PATIENT_PLANNER!J30&amp;")")&amp;IF(PATIENT_PLANNER!K30&lt;&gt;"",CHAR(10)&amp;PATIENT_PLANNER!K30,""))</f>
        <v>9:15 (Δε-Τε-Πα)
Σάκκου</v>
      </c>
      <c r="F30" s="16" t="str">
        <f>IF(PATIENT_PLANNER!N30="","",PATIENT_PLANNER!N30&amp;IF(OR(PATIENT_PLANNER!O30="",ISNUMBER(SEARCH("Καθ",PATIENT_PLANNER!O30))),""," ("&amp;PATIENT_PLANNER!O30&amp;")"))</f>
        <v/>
      </c>
      <c r="G30" s="16" t="str">
        <f>IF(PATIENT_PLANNER!L30="","",PATIENT_PLANNER!L30&amp;IF(OR(PATIENT_PLANNER!M30="",ISNUMBER(SEARCH("Καθ",PATIENT_PLANNER!M30))),""," ("&amp;PATIENT_PLANNER!M30&amp;")"))</f>
        <v/>
      </c>
      <c r="H30" s="17" t="str">
        <f>IF(PATIENT_PLANNER!P30="","",PATIENT_PLANNER!P30&amp;IF(OR(PATIENT_PLANNER!Q30="",ISNUMBER(SEARCH("Καθ",PATIENT_PLANNER!Q30))),""," ("&amp;PATIENT_PLANNER!Q30&amp;")"))</f>
        <v>10:45</v>
      </c>
      <c r="I30" s="18" t="str">
        <f>IF(PATIENT_PLANNER!R30="","",PATIENT_PLANNER!R30&amp;IF(OR(PATIENT_PLANNER!S30="",ISNUMBER(SEARCH("Καθ",PATIENT_PLANNER!S30))),""," ("&amp;PATIENT_PLANNER!S30&amp;")"))</f>
        <v/>
      </c>
      <c r="J30" s="19" t="str">
        <f>IF(PATIENT_PLANNER!T30="","",PATIENT_PLANNER!T30&amp;IF(OR(PATIENT_PLANNER!U30="",ISNUMBER(SEARCH("Καθ",PATIENT_PLANNER!U30))),""," ("&amp;PATIENT_PLANNER!U30&amp;")"))</f>
        <v>11:30 (Τρ-Πε-Πα)</v>
      </c>
      <c r="K30" s="14" t="str">
        <f>PATIENT_PLANNER!E30</f>
        <v>παρών</v>
      </c>
    </row>
    <row r="31" spans="1:11" ht="34.049999999999997" customHeight="1" x14ac:dyDescent="0.3">
      <c r="A31" s="14" t="str">
        <f>PATIENT_PLANNER!D31</f>
        <v>Ο</v>
      </c>
      <c r="B31" s="65" t="str">
        <f>PATIENT_PLANNER!B31</f>
        <v>A10</v>
      </c>
      <c r="C31" s="66" t="str">
        <f>PATIENT_PLANNER!C31</f>
        <v>ΧΡΙΣΤΟΔΟΥΛΟΥ ΟΛ</v>
      </c>
      <c r="D31" s="55" t="str">
        <f>IF(PATIENT_PLANNER!F31="","",IF(ISNUMBER(PATIENT_PLANNER!F31),TEXT(PATIENT_PLANNER!F31,"ω:λλ"),PATIENT_PLANNER!F31)&amp;IF(OR(PATIENT_PLANNER!G31="",ISNUMBER(SEARCH("Καθ",PATIENT_PLANNER!G31))),"",
" ("&amp;PATIENT_PLANNER!G31&amp;")")&amp;IF(PATIENT_PLANNER!H31&lt;&gt;"",CHAR(10)&amp;PATIENT_PLANNER!H31,""))</f>
        <v>8:30 (Τρ-Πε)
Γαβράς</v>
      </c>
      <c r="E31" s="15" t="str">
        <f>IF(PATIENT_PLANNER!I31="","",IF(ISNUMBER(PATIENT_PLANNER!I31),TEXT(PATIENT_PLANNER!I31,"ω:λλ"),PATIENT_PLANNER!I31)&amp;IF(OR(PATIENT_PLANNER!J31="",ISNUMBER(SEARCH("Καθ",PATIENT_PLANNER!J31))),"",
" ("&amp;PATIENT_PLANNER!J31&amp;")")&amp;IF(PATIENT_PLANNER!K31&lt;&gt;"",CHAR(10)&amp;PATIENT_PLANNER!K31,""))</f>
        <v/>
      </c>
      <c r="F31" s="16" t="str">
        <f>IF(PATIENT_PLANNER!N31="","",PATIENT_PLANNER!N31&amp;IF(OR(PATIENT_PLANNER!O31="",ISNUMBER(SEARCH("Καθ",PATIENT_PLANNER!O31))),""," ("&amp;PATIENT_PLANNER!O31&amp;")"))</f>
        <v/>
      </c>
      <c r="G31" s="16" t="str">
        <f>IF(PATIENT_PLANNER!L31="","",PATIENT_PLANNER!L31&amp;IF(OR(PATIENT_PLANNER!M31="",ISNUMBER(SEARCH("Καθ",PATIENT_PLANNER!M31))),""," ("&amp;PATIENT_PLANNER!M31&amp;")"))</f>
        <v/>
      </c>
      <c r="H31" s="17" t="str">
        <f>IF(PATIENT_PLANNER!P31="","",PATIENT_PLANNER!P31&amp;IF(OR(PATIENT_PLANNER!Q31="",ISNUMBER(SEARCH("Καθ",PATIENT_PLANNER!Q31))),""," ("&amp;PATIENT_PLANNER!Q31&amp;")"))</f>
        <v>10:45 (Τρ-Πε)</v>
      </c>
      <c r="I31" s="18" t="str">
        <f>IF(PATIENT_PLANNER!R31="","",PATIENT_PLANNER!R31&amp;IF(OR(PATIENT_PLANNER!S31="",ISNUMBER(SEARCH("Καθ",PATIENT_PLANNER!S31))),""," ("&amp;PATIENT_PLANNER!S31&amp;")"))</f>
        <v/>
      </c>
      <c r="J31" s="19" t="str">
        <f>IF(PATIENT_PLANNER!T31="","",PATIENT_PLANNER!T31&amp;IF(OR(PATIENT_PLANNER!U31="",ISNUMBER(SEARCH("Καθ",PATIENT_PLANNER!U31))),""," ("&amp;PATIENT_PLANNER!U31&amp;")"))</f>
        <v/>
      </c>
      <c r="K31" s="14" t="str">
        <f>PATIENT_PLANNER!E31</f>
        <v>παρών</v>
      </c>
    </row>
    <row r="32" spans="1:11" ht="34.049999999999997" customHeight="1" x14ac:dyDescent="0.3">
      <c r="A32" s="14" t="str">
        <f>PATIENT_PLANNER!D32</f>
        <v>Ο</v>
      </c>
      <c r="B32" s="65" t="str">
        <f>PATIENT_PLANNER!B32</f>
        <v>A11</v>
      </c>
      <c r="C32" s="66" t="str">
        <f>PATIENT_PLANNER!C32</f>
        <v>ΓΚΟΥΖΟΣ</v>
      </c>
      <c r="D32" s="55" t="str">
        <f>IF(PATIENT_PLANNER!F32="","",IF(ISNUMBER(PATIENT_PLANNER!F32),TEXT(PATIENT_PLANNER!F32,"ω:λλ"),PATIENT_PLANNER!F32)&amp;IF(OR(PATIENT_PLANNER!G32="",ISNUMBER(SEARCH("Καθ",PATIENT_PLANNER!G32))),"",
" ("&amp;PATIENT_PLANNER!G32&amp;")")&amp;IF(PATIENT_PLANNER!H32&lt;&gt;"",CHAR(10)&amp;PATIENT_PLANNER!H32,""))</f>
        <v>11:30
Σάκκου</v>
      </c>
      <c r="E32" s="15" t="str">
        <f>IF(PATIENT_PLANNER!I32="","",IF(ISNUMBER(PATIENT_PLANNER!I32),TEXT(PATIENT_PLANNER!I32,"ω:λλ"),PATIENT_PLANNER!I32)&amp;IF(OR(PATIENT_PLANNER!J32="",ISNUMBER(SEARCH("Καθ",PATIENT_PLANNER!J32))),"",
" ("&amp;PATIENT_PLANNER!J32&amp;")")&amp;IF(PATIENT_PLANNER!K32&lt;&gt;"",CHAR(10)&amp;PATIENT_PLANNER!K32,""))</f>
        <v/>
      </c>
      <c r="F32" s="16" t="str">
        <f>IF(PATIENT_PLANNER!N32="","",PATIENT_PLANNER!N32&amp;IF(OR(PATIENT_PLANNER!O32="",ISNUMBER(SEARCH("Καθ",PATIENT_PLANNER!O32))),""," ("&amp;PATIENT_PLANNER!O32&amp;")"))</f>
        <v/>
      </c>
      <c r="G32" s="16" t="str">
        <f>IF(PATIENT_PLANNER!L32="","",PATIENT_PLANNER!L32&amp;IF(OR(PATIENT_PLANNER!M32="",ISNUMBER(SEARCH("Καθ",PATIENT_PLANNER!M32))),""," ("&amp;PATIENT_PLANNER!M32&amp;")"))</f>
        <v/>
      </c>
      <c r="H32" s="17" t="str">
        <f>IF(PATIENT_PLANNER!P32="","",PATIENT_PLANNER!P32&amp;IF(OR(PATIENT_PLANNER!Q32="",ISNUMBER(SEARCH("Καθ",PATIENT_PLANNER!Q32))),""," ("&amp;PATIENT_PLANNER!Q32&amp;")"))</f>
        <v>12:15</v>
      </c>
      <c r="I32" s="18" t="str">
        <f>IF(PATIENT_PLANNER!R32="","",PATIENT_PLANNER!R32&amp;IF(OR(PATIENT_PLANNER!S32="",ISNUMBER(SEARCH("Καθ",PATIENT_PLANNER!S32))),""," ("&amp;PATIENT_PLANNER!S32&amp;")"))</f>
        <v/>
      </c>
      <c r="J32" s="19" t="str">
        <f>IF(PATIENT_PLANNER!T32="","",PATIENT_PLANNER!T32&amp;IF(OR(PATIENT_PLANNER!U32="",ISNUMBER(SEARCH("Καθ",PATIENT_PLANNER!U32))),""," ("&amp;PATIENT_PLANNER!U32&amp;")"))</f>
        <v>9:15 (Τε-Πα)</v>
      </c>
      <c r="K32" s="14" t="str">
        <f>PATIENT_PLANNER!E32</f>
        <v>παρών</v>
      </c>
    </row>
    <row r="33" spans="1:11" ht="34.049999999999997" customHeight="1" x14ac:dyDescent="0.3">
      <c r="A33" s="14" t="str">
        <f>PATIENT_PLANNER!D33</f>
        <v>Ο</v>
      </c>
      <c r="B33" s="65" t="str">
        <f>PATIENT_PLANNER!B33</f>
        <v>A11</v>
      </c>
      <c r="C33" s="66" t="str">
        <f>PATIENT_PLANNER!C33</f>
        <v>ΟΛΥΜΠΙΟΣ</v>
      </c>
      <c r="D33" s="55" t="str">
        <f>IF(PATIENT_PLANNER!F33="","",IF(ISNUMBER(PATIENT_PLANNER!F33),TEXT(PATIENT_PLANNER!F33,"ω:λλ"),PATIENT_PLANNER!F33)&amp;IF(OR(PATIENT_PLANNER!G33="",ISNUMBER(SEARCH("Καθ",PATIENT_PLANNER!G33))),"",
" ("&amp;PATIENT_PLANNER!G33&amp;")")&amp;IF(PATIENT_PLANNER!H33&lt;&gt;"",CHAR(10)&amp;PATIENT_PLANNER!H33,""))</f>
        <v>10:45
Σάρρας</v>
      </c>
      <c r="E33" s="15" t="str">
        <f>IF(PATIENT_PLANNER!I33="","",IF(ISNUMBER(PATIENT_PLANNER!I33),TEXT(PATIENT_PLANNER!I33,"ω:λλ"),PATIENT_PLANNER!I33)&amp;IF(OR(PATIENT_PLANNER!J33="",ISNUMBER(SEARCH("Καθ",PATIENT_PLANNER!J33))),"",
" ("&amp;PATIENT_PLANNER!J33&amp;")")&amp;IF(PATIENT_PLANNER!K33&lt;&gt;"",CHAR(10)&amp;PATIENT_PLANNER!K33,""))</f>
        <v/>
      </c>
      <c r="F33" s="16" t="str">
        <f>IF(PATIENT_PLANNER!N33="","",PATIENT_PLANNER!N33&amp;IF(OR(PATIENT_PLANNER!O33="",ISNUMBER(SEARCH("Καθ",PATIENT_PLANNER!O33))),""," ("&amp;PATIENT_PLANNER!O33&amp;")"))</f>
        <v/>
      </c>
      <c r="G33" s="16" t="str">
        <f>IF(PATIENT_PLANNER!L33="","",PATIENT_PLANNER!L33&amp;IF(OR(PATIENT_PLANNER!M33="",ISNUMBER(SEARCH("Καθ",PATIENT_PLANNER!M33))),""," ("&amp;PATIENT_PLANNER!M33&amp;")"))</f>
        <v/>
      </c>
      <c r="H33" s="17" t="str">
        <f>IF(PATIENT_PLANNER!P33="","",PATIENT_PLANNER!P33&amp;IF(OR(PATIENT_PLANNER!Q33="",ISNUMBER(SEARCH("Καθ",PATIENT_PLANNER!Q33))),""," ("&amp;PATIENT_PLANNER!Q33&amp;")"))</f>
        <v>10:00 (Δε-Τε-Πε)</v>
      </c>
      <c r="I33" s="18" t="str">
        <f>IF(PATIENT_PLANNER!R33="","",PATIENT_PLANNER!R33&amp;IF(OR(PATIENT_PLANNER!S33="",ISNUMBER(SEARCH("Καθ",PATIENT_PLANNER!S33))),""," ("&amp;PATIENT_PLANNER!S33&amp;")"))</f>
        <v/>
      </c>
      <c r="J33" s="19" t="str">
        <f>IF(PATIENT_PLANNER!T33="","",PATIENT_PLANNER!T33&amp;IF(OR(PATIENT_PLANNER!U33="",ISNUMBER(SEARCH("Καθ",PATIENT_PLANNER!U33))),""," ("&amp;PATIENT_PLANNER!U33&amp;")"))</f>
        <v/>
      </c>
      <c r="K33" s="14" t="str">
        <f>PATIENT_PLANNER!E33</f>
        <v>παρών</v>
      </c>
    </row>
    <row r="34" spans="1:11" ht="34.049999999999997" customHeight="1" x14ac:dyDescent="0.3">
      <c r="A34" s="14" t="str">
        <f>PATIENT_PLANNER!D34</f>
        <v>Ο</v>
      </c>
      <c r="B34" s="65" t="str">
        <f>PATIENT_PLANNER!B34</f>
        <v>A12</v>
      </c>
      <c r="C34" s="66" t="str">
        <f>PATIENT_PLANNER!C34</f>
        <v>ΛΑΝΑΡΑΣ</v>
      </c>
      <c r="D34" s="55" t="str">
        <f>IF(PATIENT_PLANNER!F34="","",IF(ISNUMBER(PATIENT_PLANNER!F34),TEXT(PATIENT_PLANNER!F34,"ω:λλ"),PATIENT_PLANNER!F34)&amp;IF(OR(PATIENT_PLANNER!G34="",ISNUMBER(SEARCH("Καθ",PATIENT_PLANNER!G34))),"",
" ("&amp;PATIENT_PLANNER!G34&amp;")")&amp;IF(PATIENT_PLANNER!H34&lt;&gt;"",CHAR(10)&amp;PATIENT_PLANNER!H34,""))</f>
        <v>12:15
Γαβράς</v>
      </c>
      <c r="E34" s="15" t="str">
        <f>IF(PATIENT_PLANNER!I34="","",IF(ISNUMBER(PATIENT_PLANNER!I34),TEXT(PATIENT_PLANNER!I34,"ω:λλ"),PATIENT_PLANNER!I34)&amp;IF(OR(PATIENT_PLANNER!J34="",ISNUMBER(SEARCH("Καθ",PATIENT_PLANNER!J34))),"",
" ("&amp;PATIENT_PLANNER!J34&amp;")")&amp;IF(PATIENT_PLANNER!K34&lt;&gt;"",CHAR(10)&amp;PATIENT_PLANNER!K34,""))</f>
        <v/>
      </c>
      <c r="F34" s="16" t="str">
        <f>IF(PATIENT_PLANNER!N34="","",PATIENT_PLANNER!N34&amp;IF(OR(PATIENT_PLANNER!O34="",ISNUMBER(SEARCH("Καθ",PATIENT_PLANNER!O34))),""," ("&amp;PATIENT_PLANNER!O34&amp;")"))</f>
        <v/>
      </c>
      <c r="G34" s="16" t="str">
        <f>IF(PATIENT_PLANNER!L34="","",PATIENT_PLANNER!L34&amp;IF(OR(PATIENT_PLANNER!M34="",ISNUMBER(SEARCH("Καθ",PATIENT_PLANNER!M34))),""," ("&amp;PATIENT_PLANNER!M34&amp;")"))</f>
        <v/>
      </c>
      <c r="H34" s="17" t="str">
        <f>IF(PATIENT_PLANNER!P34="","",PATIENT_PLANNER!P34&amp;IF(OR(PATIENT_PLANNER!Q34="",ISNUMBER(SEARCH("Καθ",PATIENT_PLANNER!Q34))),""," ("&amp;PATIENT_PLANNER!Q34&amp;")"))</f>
        <v>12:15 (Τρ-Πε)</v>
      </c>
      <c r="I34" s="18" t="str">
        <f>IF(PATIENT_PLANNER!R34="","",PATIENT_PLANNER!R34&amp;IF(OR(PATIENT_PLANNER!S34="",ISNUMBER(SEARCH("Καθ",PATIENT_PLANNER!S34))),""," ("&amp;PATIENT_PLANNER!S34&amp;")"))</f>
        <v/>
      </c>
      <c r="J34" s="19" t="str">
        <f>IF(PATIENT_PLANNER!T34="","",PATIENT_PLANNER!T34&amp;IF(OR(PATIENT_PLANNER!U34="",ISNUMBER(SEARCH("Καθ",PATIENT_PLANNER!U34))),""," ("&amp;PATIENT_PLANNER!U34&amp;")"))</f>
        <v/>
      </c>
      <c r="K34" s="14" t="str">
        <f>PATIENT_PLANNER!E34</f>
        <v>παρών</v>
      </c>
    </row>
    <row r="35" spans="1:11" ht="34.049999999999997" customHeight="1" x14ac:dyDescent="0.3">
      <c r="A35" s="14" t="str">
        <f>PATIENT_PLANNER!D35</f>
        <v/>
      </c>
      <c r="B35" s="65" t="str">
        <f>PATIENT_PLANNER!B35</f>
        <v/>
      </c>
      <c r="C35" s="66" t="str">
        <f>PATIENT_PLANNER!C35</f>
        <v/>
      </c>
      <c r="D35" s="55" t="str">
        <f>IF(PATIENT_PLANNER!F35="","",IF(ISNUMBER(PATIENT_PLANNER!F35),TEXT(PATIENT_PLANNER!F35,"ω:λλ"),PATIENT_PLANNER!F35)&amp;IF(OR(PATIENT_PLANNER!G35="",ISNUMBER(SEARCH("Καθ",PATIENT_PLANNER!G35))),"",
" ("&amp;PATIENT_PLANNER!G35&amp;")")&amp;IF(PATIENT_PLANNER!H35&lt;&gt;"",CHAR(10)&amp;PATIENT_PLANNER!H35,""))</f>
        <v/>
      </c>
      <c r="E35" s="15" t="str">
        <f>IF(PATIENT_PLANNER!I35="","",IF(ISNUMBER(PATIENT_PLANNER!I35),TEXT(PATIENT_PLANNER!I35,"ω:λλ"),PATIENT_PLANNER!I35)&amp;IF(OR(PATIENT_PLANNER!J35="",ISNUMBER(SEARCH("Καθ",PATIENT_PLANNER!J35))),"",
" ("&amp;PATIENT_PLANNER!J35&amp;")")&amp;IF(PATIENT_PLANNER!K35&lt;&gt;"",CHAR(10)&amp;PATIENT_PLANNER!K35,""))</f>
        <v/>
      </c>
      <c r="F35" s="16" t="str">
        <f>IF(PATIENT_PLANNER!N35="","",PATIENT_PLANNER!N35&amp;IF(OR(PATIENT_PLANNER!O35="",ISNUMBER(SEARCH("Καθ",PATIENT_PLANNER!O35))),""," ("&amp;PATIENT_PLANNER!O35&amp;")"))</f>
        <v/>
      </c>
      <c r="G35" s="16" t="str">
        <f>IF(PATIENT_PLANNER!L35="","",PATIENT_PLANNER!L35&amp;IF(OR(PATIENT_PLANNER!M35="",ISNUMBER(SEARCH("Καθ",PATIENT_PLANNER!M35))),""," ("&amp;PATIENT_PLANNER!M35&amp;")"))</f>
        <v/>
      </c>
      <c r="H35" s="17" t="str">
        <f>IF(PATIENT_PLANNER!P35="","",PATIENT_PLANNER!P35&amp;IF(OR(PATIENT_PLANNER!Q35="",ISNUMBER(SEARCH("Καθ",PATIENT_PLANNER!Q35))),""," ("&amp;PATIENT_PLANNER!Q35&amp;")"))</f>
        <v/>
      </c>
      <c r="I35" s="18" t="str">
        <f>IF(PATIENT_PLANNER!R35="","",PATIENT_PLANNER!R35&amp;IF(OR(PATIENT_PLANNER!S35="",ISNUMBER(SEARCH("Καθ",PATIENT_PLANNER!S35))),""," ("&amp;PATIENT_PLANNER!S35&amp;")"))</f>
        <v/>
      </c>
      <c r="J35" s="19" t="str">
        <f>IF(PATIENT_PLANNER!T35="","",PATIENT_PLANNER!T35&amp;IF(OR(PATIENT_PLANNER!U35="",ISNUMBER(SEARCH("Καθ",PATIENT_PLANNER!U35))),""," ("&amp;PATIENT_PLANNER!U35&amp;")"))</f>
        <v/>
      </c>
      <c r="K35" s="14" t="str">
        <f>PATIENT_PLANNER!E35</f>
        <v/>
      </c>
    </row>
    <row r="36" spans="1:11" ht="34.049999999999997" customHeight="1" x14ac:dyDescent="0.3">
      <c r="A36" s="14" t="str">
        <f>PATIENT_PLANNER!D36</f>
        <v>Ο</v>
      </c>
      <c r="B36" s="65" t="str">
        <f>PATIENT_PLANNER!B36</f>
        <v>A14</v>
      </c>
      <c r="C36" s="66" t="str">
        <f>PATIENT_PLANNER!C36</f>
        <v>ΚΑΡΑΠΟΥΛΙΟΣ</v>
      </c>
      <c r="D36" s="55" t="str">
        <f>IF(PATIENT_PLANNER!F36="","",IF(ISNUMBER(PATIENT_PLANNER!F36),TEXT(PATIENT_PLANNER!F36,"ω:λλ"),PATIENT_PLANNER!F36)&amp;IF(OR(PATIENT_PLANNER!G36="",ISNUMBER(SEARCH("Καθ",PATIENT_PLANNER!G36))),"",
" ("&amp;PATIENT_PLANNER!G36&amp;")")&amp;IF(PATIENT_PLANNER!H36&lt;&gt;"",CHAR(10)&amp;PATIENT_PLANNER!H36,""))</f>
        <v>12:15 (Δε-Τε-Πα)
Σκαρώνης</v>
      </c>
      <c r="E36" s="15" t="str">
        <f>IF(PATIENT_PLANNER!I36="","",IF(ISNUMBER(PATIENT_PLANNER!I36),TEXT(PATIENT_PLANNER!I36,"ω:λλ"),PATIENT_PLANNER!I36)&amp;IF(OR(PATIENT_PLANNER!J36="",ISNUMBER(SEARCH("Καθ",PATIENT_PLANNER!J36))),"",
" ("&amp;PATIENT_PLANNER!J36&amp;")")&amp;IF(PATIENT_PLANNER!K36&lt;&gt;"",CHAR(10)&amp;PATIENT_PLANNER!K36,""))</f>
        <v/>
      </c>
      <c r="F36" s="16" t="str">
        <f>IF(PATIENT_PLANNER!N36="","",PATIENT_PLANNER!N36&amp;IF(OR(PATIENT_PLANNER!O36="",ISNUMBER(SEARCH("Καθ",PATIENT_PLANNER!O36))),""," ("&amp;PATIENT_PLANNER!O36&amp;")"))</f>
        <v/>
      </c>
      <c r="G36" s="16" t="str">
        <f>IF(PATIENT_PLANNER!L36="","",PATIENT_PLANNER!L36&amp;IF(OR(PATIENT_PLANNER!M36="",ISNUMBER(SEARCH("Καθ",PATIENT_PLANNER!M36))),""," ("&amp;PATIENT_PLANNER!M36&amp;")"))</f>
        <v>11:00 (Δε-Τε-Πε)</v>
      </c>
      <c r="H36" s="17" t="str">
        <f>IF(PATIENT_PLANNER!P36="","",PATIENT_PLANNER!P36&amp;IF(OR(PATIENT_PLANNER!Q36="",ISNUMBER(SEARCH("Καθ",PATIENT_PLANNER!Q36))),""," ("&amp;PATIENT_PLANNER!Q36&amp;")"))</f>
        <v>10:45</v>
      </c>
      <c r="I36" s="18" t="str">
        <f>IF(PATIENT_PLANNER!R36="","",PATIENT_PLANNER!R36&amp;IF(OR(PATIENT_PLANNER!S36="",ISNUMBER(SEARCH("Καθ",PATIENT_PLANNER!S36))),""," ("&amp;PATIENT_PLANNER!S36&amp;")"))</f>
        <v/>
      </c>
      <c r="J36" s="19" t="str">
        <f>IF(PATIENT_PLANNER!T36="","",PATIENT_PLANNER!T36&amp;IF(OR(PATIENT_PLANNER!U36="",ISNUMBER(SEARCH("Καθ",PATIENT_PLANNER!U36))),""," ("&amp;PATIENT_PLANNER!U36&amp;")"))</f>
        <v>8:30 (Δε-Πε)</v>
      </c>
      <c r="K36" s="14" t="str">
        <f>PATIENT_PLANNER!E36</f>
        <v>παρών</v>
      </c>
    </row>
    <row r="37" spans="1:11" ht="34.049999999999997" customHeight="1" x14ac:dyDescent="0.3">
      <c r="A37" s="14" t="str">
        <f>PATIENT_PLANNER!D37</f>
        <v>Ο</v>
      </c>
      <c r="B37" s="65" t="str">
        <f>PATIENT_PLANNER!B37</f>
        <v>A14</v>
      </c>
      <c r="C37" s="66" t="str">
        <f>PATIENT_PLANNER!C37</f>
        <v>ΜΩΡΑΙΤΗΣ</v>
      </c>
      <c r="D37" s="55" t="str">
        <f>IF(PATIENT_PLANNER!F37="","",IF(ISNUMBER(PATIENT_PLANNER!F37),TEXT(PATIENT_PLANNER!F37,"ω:λλ"),PATIENT_PLANNER!F37)&amp;IF(OR(PATIENT_PLANNER!G37="",ISNUMBER(SEARCH("Καθ",PATIENT_PLANNER!G37))),"",
" ("&amp;PATIENT_PLANNER!G37&amp;")")&amp;IF(PATIENT_PLANNER!H37&lt;&gt;"",CHAR(10)&amp;PATIENT_PLANNER!H37,""))</f>
        <v>12:15
Σάρρας</v>
      </c>
      <c r="E37" s="15" t="str">
        <f>IF(PATIENT_PLANNER!I37="","",IF(ISNUMBER(PATIENT_PLANNER!I37),TEXT(PATIENT_PLANNER!I37,"ω:λλ"),PATIENT_PLANNER!I37)&amp;IF(OR(PATIENT_PLANNER!J37="",ISNUMBER(SEARCH("Καθ",PATIENT_PLANNER!J37))),"",
" ("&amp;PATIENT_PLANNER!J37&amp;")")&amp;IF(PATIENT_PLANNER!K37&lt;&gt;"",CHAR(10)&amp;PATIENT_PLANNER!K37,""))</f>
        <v/>
      </c>
      <c r="F37" s="16" t="str">
        <f>IF(PATIENT_PLANNER!N37="","",PATIENT_PLANNER!N37&amp;IF(OR(PATIENT_PLANNER!O37="",ISNUMBER(SEARCH("Καθ",PATIENT_PLANNER!O37))),""," ("&amp;PATIENT_PLANNER!O37&amp;")"))</f>
        <v/>
      </c>
      <c r="G37" s="16" t="str">
        <f>IF(PATIENT_PLANNER!L37="","",PATIENT_PLANNER!L37&amp;IF(OR(PATIENT_PLANNER!M37="",ISNUMBER(SEARCH("Καθ",PATIENT_PLANNER!M37))),""," ("&amp;PATIENT_PLANNER!M37&amp;")"))</f>
        <v/>
      </c>
      <c r="H37" s="17" t="str">
        <f>IF(PATIENT_PLANNER!P37="","",PATIENT_PLANNER!P37&amp;IF(OR(PATIENT_PLANNER!Q37="",ISNUMBER(SEARCH("Καθ",PATIENT_PLANNER!Q37))),""," ("&amp;PATIENT_PLANNER!Q37&amp;")"))</f>
        <v>9:15</v>
      </c>
      <c r="I37" s="18" t="str">
        <f>IF(PATIENT_PLANNER!R37="","",PATIENT_PLANNER!R37&amp;IF(OR(PATIENT_PLANNER!S37="",ISNUMBER(SEARCH("Καθ",PATIENT_PLANNER!S37))),""," ("&amp;PATIENT_PLANNER!S37&amp;")"))</f>
        <v/>
      </c>
      <c r="J37" s="19" t="str">
        <f>IF(PATIENT_PLANNER!T37="","",PATIENT_PLANNER!T37&amp;IF(OR(PATIENT_PLANNER!U37="",ISNUMBER(SEARCH("Καθ",PATIENT_PLANNER!U37))),""," ("&amp;PATIENT_PLANNER!U37&amp;")"))</f>
        <v/>
      </c>
      <c r="K37" s="14" t="str">
        <f>PATIENT_PLANNER!E37</f>
        <v>παρών</v>
      </c>
    </row>
    <row r="38" spans="1:11" ht="34.049999999999997" customHeight="1" x14ac:dyDescent="0.3">
      <c r="A38" s="14" t="str">
        <f>PATIENT_PLANNER!D38</f>
        <v>Ο</v>
      </c>
      <c r="B38" s="65" t="str">
        <f>PATIENT_PLANNER!B38</f>
        <v>A14</v>
      </c>
      <c r="C38" s="66" t="str">
        <f>PATIENT_PLANNER!C38</f>
        <v>ΧΑΙΡΕΤΗΣ</v>
      </c>
      <c r="D38" s="55" t="str">
        <f>IF(PATIENT_PLANNER!F38="","",IF(ISNUMBER(PATIENT_PLANNER!F38),TEXT(PATIENT_PLANNER!F38,"ω:λλ"),PATIENT_PLANNER!F38)&amp;IF(OR(PATIENT_PLANNER!G38="",ISNUMBER(SEARCH("Καθ",PATIENT_PLANNER!G38))),"",
" ("&amp;PATIENT_PLANNER!G38&amp;")")&amp;IF(PATIENT_PLANNER!H38&lt;&gt;"",CHAR(10)&amp;PATIENT_PLANNER!H38,""))</f>
        <v>9:15
Αργέντος</v>
      </c>
      <c r="E38" s="15" t="str">
        <f>IF(PATIENT_PLANNER!I38="","",IF(ISNUMBER(PATIENT_PLANNER!I38),TEXT(PATIENT_PLANNER!I38,"ω:λλ"),PATIENT_PLANNER!I38)&amp;IF(OR(PATIENT_PLANNER!J38="",ISNUMBER(SEARCH("Καθ",PATIENT_PLANNER!J38))),"",
" ("&amp;PATIENT_PLANNER!J38&amp;")")&amp;IF(PATIENT_PLANNER!K38&lt;&gt;"",CHAR(10)&amp;PATIENT_PLANNER!K38,""))</f>
        <v/>
      </c>
      <c r="F38" s="16" t="str">
        <f>IF(PATIENT_PLANNER!N38="","",PATIENT_PLANNER!N38&amp;IF(OR(PATIENT_PLANNER!O38="",ISNUMBER(SEARCH("Καθ",PATIENT_PLANNER!O38))),""," ("&amp;PATIENT_PLANNER!O38&amp;")"))</f>
        <v/>
      </c>
      <c r="G38" s="16" t="str">
        <f>IF(PATIENT_PLANNER!L38="","",PATIENT_PLANNER!L38&amp;IF(OR(PATIENT_PLANNER!M38="",ISNUMBER(SEARCH("Καθ",PATIENT_PLANNER!M38))),""," ("&amp;PATIENT_PLANNER!M38&amp;")"))</f>
        <v>11:00 (Δε-Τε-Πε)</v>
      </c>
      <c r="H38" s="17" t="str">
        <f>IF(PATIENT_PLANNER!P38="","",PATIENT_PLANNER!P38&amp;IF(OR(PATIENT_PLANNER!Q38="",ISNUMBER(SEARCH("Καθ",PATIENT_PLANNER!Q38))),""," ("&amp;PATIENT_PLANNER!Q38&amp;")"))</f>
        <v>11:30</v>
      </c>
      <c r="I38" s="18" t="str">
        <f>IF(PATIENT_PLANNER!R38="","",PATIENT_PLANNER!R38&amp;IF(OR(PATIENT_PLANNER!S38="",ISNUMBER(SEARCH("Καθ",PATIENT_PLANNER!S38))),""," ("&amp;PATIENT_PLANNER!S38&amp;")"))</f>
        <v/>
      </c>
      <c r="J38" s="19" t="str">
        <f>IF(PATIENT_PLANNER!T38="","",PATIENT_PLANNER!T38&amp;IF(OR(PATIENT_PLANNER!U38="",ISNUMBER(SEARCH("Καθ",PATIENT_PLANNER!U38))),""," ("&amp;PATIENT_PLANNER!U38&amp;")"))</f>
        <v/>
      </c>
      <c r="K38" s="14" t="str">
        <f>PATIENT_PLANNER!E38</f>
        <v>παρών</v>
      </c>
    </row>
    <row r="39" spans="1:11" ht="34.049999999999997" customHeight="1" x14ac:dyDescent="0.3">
      <c r="A39" s="14" t="str">
        <f>PATIENT_PLANNER!D39</f>
        <v>Ο</v>
      </c>
      <c r="B39" s="65" t="str">
        <f>PATIENT_PLANNER!B39</f>
        <v>A15</v>
      </c>
      <c r="C39" s="66" t="str">
        <f>PATIENT_PLANNER!C39</f>
        <v>ΓΕΡΜΑΝΗΣ</v>
      </c>
      <c r="D39" s="55" t="str">
        <f>IF(PATIENT_PLANNER!F39="","",IF(ISNUMBER(PATIENT_PLANNER!F39),TEXT(PATIENT_PLANNER!F39,"ω:λλ"),PATIENT_PLANNER!F39)&amp;IF(OR(PATIENT_PLANNER!G39="",ISNUMBER(SEARCH("Καθ",PATIENT_PLANNER!G39))),"",
" ("&amp;PATIENT_PLANNER!G39&amp;")")&amp;IF(PATIENT_PLANNER!H39&lt;&gt;"",CHAR(10)&amp;PATIENT_PLANNER!H39,""))</f>
        <v>10:00
Βασιλειάδης</v>
      </c>
      <c r="E39" s="15" t="str">
        <f>IF(PATIENT_PLANNER!I39="","",IF(ISNUMBER(PATIENT_PLANNER!I39),TEXT(PATIENT_PLANNER!I39,"ω:λλ"),PATIENT_PLANNER!I39)&amp;IF(OR(PATIENT_PLANNER!J39="",ISNUMBER(SEARCH("Καθ",PATIENT_PLANNER!J39))),"",
" ("&amp;PATIENT_PLANNER!J39&amp;")")&amp;IF(PATIENT_PLANNER!K39&lt;&gt;"",CHAR(10)&amp;PATIENT_PLANNER!K39,""))</f>
        <v/>
      </c>
      <c r="F39" s="16" t="str">
        <f>IF(PATIENT_PLANNER!N39="","",PATIENT_PLANNER!N39&amp;IF(OR(PATIENT_PLANNER!O39="",ISNUMBER(SEARCH("Καθ",PATIENT_PLANNER!O39))),""," ("&amp;PATIENT_PLANNER!O39&amp;")"))</f>
        <v/>
      </c>
      <c r="G39" s="16" t="str">
        <f>IF(PATIENT_PLANNER!L39="","",PATIENT_PLANNER!L39&amp;IF(OR(PATIENT_PLANNER!M39="",ISNUMBER(SEARCH("Καθ",PATIENT_PLANNER!M39))),""," ("&amp;PATIENT_PLANNER!M39&amp;")"))</f>
        <v/>
      </c>
      <c r="H39" s="17" t="str">
        <f>IF(PATIENT_PLANNER!P39="","",PATIENT_PLANNER!P39&amp;IF(OR(PATIENT_PLANNER!Q39="",ISNUMBER(SEARCH("Καθ",PATIENT_PLANNER!Q39))),""," ("&amp;PATIENT_PLANNER!Q39&amp;")"))</f>
        <v>11:30</v>
      </c>
      <c r="I39" s="18" t="str">
        <f>IF(PATIENT_PLANNER!R39="","",PATIENT_PLANNER!R39&amp;IF(OR(PATIENT_PLANNER!S39="",ISNUMBER(SEARCH("Καθ",PATIENT_PLANNER!S39))),""," ("&amp;PATIENT_PLANNER!S39&amp;")"))</f>
        <v/>
      </c>
      <c r="J39" s="19" t="str">
        <f>IF(PATIENT_PLANNER!T39="","",PATIENT_PLANNER!T39&amp;IF(OR(PATIENT_PLANNER!U39="",ISNUMBER(SEARCH("Καθ",PATIENT_PLANNER!U39))),""," ("&amp;PATIENT_PLANNER!U39&amp;")"))</f>
        <v/>
      </c>
      <c r="K39" s="14" t="str">
        <f>PATIENT_PLANNER!E39</f>
        <v>παρών</v>
      </c>
    </row>
    <row r="40" spans="1:11" ht="34.049999999999997" customHeight="1" x14ac:dyDescent="0.3">
      <c r="A40" s="14" t="str">
        <f>PATIENT_PLANNER!D40</f>
        <v>Ο</v>
      </c>
      <c r="B40" s="65" t="str">
        <f>PATIENT_PLANNER!B40</f>
        <v>B01</v>
      </c>
      <c r="C40" s="66" t="str">
        <f>PATIENT_PLANNER!C40</f>
        <v>ΑΥΓΕΡΙΝΟΣ</v>
      </c>
      <c r="D40" s="55" t="str">
        <f>IF(PATIENT_PLANNER!F40="","",IF(ISNUMBER(PATIENT_PLANNER!F40),TEXT(PATIENT_PLANNER!F40,"ω:λλ"),PATIENT_PLANNER!F40)&amp;IF(OR(PATIENT_PLANNER!G40="",ISNUMBER(SEARCH("Καθ",PATIENT_PLANNER!G40))),"",
" ("&amp;PATIENT_PLANNER!G40&amp;")")&amp;IF(PATIENT_PLANNER!H40&lt;&gt;"",CHAR(10)&amp;PATIENT_PLANNER!H40,""))</f>
        <v/>
      </c>
      <c r="E40" s="15" t="str">
        <f>IF(PATIENT_PLANNER!I40="","",IF(ISNUMBER(PATIENT_PLANNER!I40),TEXT(PATIENT_PLANNER!I40,"ω:λλ"),PATIENT_PLANNER!I40)&amp;IF(OR(PATIENT_PLANNER!J40="",ISNUMBER(SEARCH("Καθ",PATIENT_PLANNER!J40))),"",
" ("&amp;PATIENT_PLANNER!J40&amp;")")&amp;IF(PATIENT_PLANNER!K40&lt;&gt;"",CHAR(10)&amp;PATIENT_PLANNER!K40,""))</f>
        <v/>
      </c>
      <c r="F40" s="16" t="str">
        <f>IF(PATIENT_PLANNER!N40="","",PATIENT_PLANNER!N40&amp;IF(OR(PATIENT_PLANNER!O40="",ISNUMBER(SEARCH("Καθ",PATIENT_PLANNER!O40))),""," ("&amp;PATIENT_PLANNER!O40&amp;")"))</f>
        <v/>
      </c>
      <c r="G40" s="16" t="str">
        <f>IF(PATIENT_PLANNER!L40="","",PATIENT_PLANNER!L40&amp;IF(OR(PATIENT_PLANNER!M40="",ISNUMBER(SEARCH("Καθ",PATIENT_PLANNER!M40))),""," ("&amp;PATIENT_PLANNER!M40&amp;")"))</f>
        <v/>
      </c>
      <c r="H40" s="17" t="str">
        <f>IF(PATIENT_PLANNER!P40="","",PATIENT_PLANNER!P40&amp;IF(OR(PATIENT_PLANNER!Q40="",ISNUMBER(SEARCH("Καθ",PATIENT_PLANNER!Q40))),""," ("&amp;PATIENT_PLANNER!Q40&amp;")"))</f>
        <v>11:30 (Δε-Τε-Πα)</v>
      </c>
      <c r="I40" s="18" t="str">
        <f>IF(PATIENT_PLANNER!R40="","",PATIENT_PLANNER!R40&amp;IF(OR(PATIENT_PLANNER!S40="",ISNUMBER(SEARCH("Καθ",PATIENT_PLANNER!S40))),""," ("&amp;PATIENT_PLANNER!S40&amp;")"))</f>
        <v>10:00 (Πε)</v>
      </c>
      <c r="J40" s="19" t="str">
        <f>IF(PATIENT_PLANNER!T40="","",PATIENT_PLANNER!T40&amp;IF(OR(PATIENT_PLANNER!U40="",ISNUMBER(SEARCH("Καθ",PATIENT_PLANNER!U40))),""," ("&amp;PATIENT_PLANNER!U40&amp;")"))</f>
        <v/>
      </c>
      <c r="K40" s="14" t="str">
        <f>PATIENT_PLANNER!E40</f>
        <v>διακομισμένος</v>
      </c>
    </row>
    <row r="41" spans="1:11" ht="34.049999999999997" customHeight="1" x14ac:dyDescent="0.3">
      <c r="A41" s="14" t="str">
        <f>PATIENT_PLANNER!D41</f>
        <v>Ν</v>
      </c>
      <c r="B41" s="53" t="str">
        <f>PATIENT_PLANNER!B41</f>
        <v>B09</v>
      </c>
      <c r="C41" s="54" t="str">
        <f>PATIENT_PLANNER!C41</f>
        <v>ΒΑΣΙΛΕΙΑΔΗΣ</v>
      </c>
      <c r="D41" s="55" t="str">
        <f>IF(PATIENT_PLANNER!F41="","",IF(ISNUMBER(PATIENT_PLANNER!F41),TEXT(PATIENT_PLANNER!F41,"ω:λλ"),PATIENT_PLANNER!F41)&amp;IF(OR(PATIENT_PLANNER!G41="",ISNUMBER(SEARCH("Καθ",PATIENT_PLANNER!G41))),"",
" ("&amp;PATIENT_PLANNER!G41&amp;")")&amp;IF(PATIENT_PLANNER!H41&lt;&gt;"",CHAR(10)&amp;PATIENT_PLANNER!H41,""))</f>
        <v>9:15
Παπακίτσου</v>
      </c>
      <c r="E41" s="15" t="str">
        <f>IF(PATIENT_PLANNER!I41="","",IF(ISNUMBER(PATIENT_PLANNER!I41),TEXT(PATIENT_PLANNER!I41,"ω:λλ"),PATIENT_PLANNER!I41)&amp;IF(OR(PATIENT_PLANNER!J41="",ISNUMBER(SEARCH("Καθ",PATIENT_PLANNER!J41))),"",
" ("&amp;PATIENT_PLANNER!J41&amp;")")&amp;IF(PATIENT_PLANNER!K41&lt;&gt;"",CHAR(10)&amp;PATIENT_PLANNER!K41,""))</f>
        <v/>
      </c>
      <c r="F41" s="16" t="str">
        <f>IF(PATIENT_PLANNER!N41="","",PATIENT_PLANNER!N41&amp;IF(OR(PATIENT_PLANNER!O41="",ISNUMBER(SEARCH("Καθ",PATIENT_PLANNER!O41))),""," ("&amp;PATIENT_PLANNER!O41&amp;")"))</f>
        <v/>
      </c>
      <c r="G41" s="16" t="str">
        <f>IF(PATIENT_PLANNER!L41="","",PATIENT_PLANNER!L41&amp;IF(OR(PATIENT_PLANNER!M41="",ISNUMBER(SEARCH("Καθ",PATIENT_PLANNER!M41))),""," ("&amp;PATIENT_PLANNER!M41&amp;")"))</f>
        <v/>
      </c>
      <c r="H41" s="17" t="str">
        <f>IF(PATIENT_PLANNER!P41="","",PATIENT_PLANNER!P41&amp;IF(OR(PATIENT_PLANNER!Q41="",ISNUMBER(SEARCH("Καθ",PATIENT_PLANNER!Q41))),""," ("&amp;PATIENT_PLANNER!Q41&amp;")"))</f>
        <v/>
      </c>
      <c r="I41" s="18" t="str">
        <f>IF(PATIENT_PLANNER!R41="","",PATIENT_PLANNER!R41&amp;IF(OR(PATIENT_PLANNER!S41="",ISNUMBER(SEARCH("Καθ",PATIENT_PLANNER!S41))),""," ("&amp;PATIENT_PLANNER!S41&amp;")"))</f>
        <v/>
      </c>
      <c r="J41" s="19" t="str">
        <f>IF(PATIENT_PLANNER!T41="","",PATIENT_PLANNER!T41&amp;IF(OR(PATIENT_PLANNER!U41="",ISNUMBER(SEARCH("Καθ",PATIENT_PLANNER!U41))),""," ("&amp;PATIENT_PLANNER!U41&amp;")"))</f>
        <v/>
      </c>
      <c r="K41" s="14" t="str">
        <f>PATIENT_PLANNER!E41</f>
        <v>παρών</v>
      </c>
    </row>
    <row r="42" spans="1:11" ht="34.049999999999997" customHeight="1" x14ac:dyDescent="0.3">
      <c r="A42" s="14" t="str">
        <f>PATIENT_PLANNER!D42</f>
        <v>Ο</v>
      </c>
      <c r="B42" s="65" t="str">
        <f>PATIENT_PLANNER!B42</f>
        <v>B02</v>
      </c>
      <c r="C42" s="66" t="str">
        <f>PATIENT_PLANNER!C42</f>
        <v>ΑΠΟΣΤΟΛΟΠΟΥΛΟΥ ΑΘΗ</v>
      </c>
      <c r="D42" s="55" t="str">
        <f>IF(PATIENT_PLANNER!F42="","",IF(ISNUMBER(PATIENT_PLANNER!F42),TEXT(PATIENT_PLANNER!F42,"ω:λλ"),PATIENT_PLANNER!F42)&amp;IF(OR(PATIENT_PLANNER!G42="",ISNUMBER(SEARCH("Καθ",PATIENT_PLANNER!G42))),"",
" ("&amp;PATIENT_PLANNER!G42&amp;")")&amp;IF(PATIENT_PLANNER!H42&lt;&gt;"",CHAR(10)&amp;PATIENT_PLANNER!H42,""))</f>
        <v>10:45 (Τρ-Πε)
Γουνελάς</v>
      </c>
      <c r="E42" s="15" t="str">
        <f>IF(PATIENT_PLANNER!I42="","",IF(ISNUMBER(PATIENT_PLANNER!I42),TEXT(PATIENT_PLANNER!I42,"ω:λλ"),PATIENT_PLANNER!I42)&amp;IF(OR(PATIENT_PLANNER!J42="",ISNUMBER(SEARCH("Καθ",PATIENT_PLANNER!J42))),"",
" ("&amp;PATIENT_PLANNER!J42&amp;")")&amp;IF(PATIENT_PLANNER!K42&lt;&gt;"",CHAR(10)&amp;PATIENT_PLANNER!K42,""))</f>
        <v/>
      </c>
      <c r="F42" s="16" t="str">
        <f>IF(PATIENT_PLANNER!N42="","",PATIENT_PLANNER!N42&amp;IF(OR(PATIENT_PLANNER!O42="",ISNUMBER(SEARCH("Καθ",PATIENT_PLANNER!O42))),""," ("&amp;PATIENT_PLANNER!O42&amp;")"))</f>
        <v/>
      </c>
      <c r="G42" s="16" t="str">
        <f>IF(PATIENT_PLANNER!L42="","",PATIENT_PLANNER!L42&amp;IF(OR(PATIENT_PLANNER!M42="",ISNUMBER(SEARCH("Καθ",PATIENT_PLANNER!M42))),""," ("&amp;PATIENT_PLANNER!M42&amp;")"))</f>
        <v/>
      </c>
      <c r="H42" s="17" t="str">
        <f>IF(PATIENT_PLANNER!P42="","",PATIENT_PLANNER!P42&amp;IF(OR(PATIENT_PLANNER!Q42="",ISNUMBER(SEARCH("Καθ",PATIENT_PLANNER!Q42))),""," ("&amp;PATIENT_PLANNER!Q42&amp;")"))</f>
        <v>10:00 (Δε-Τε-Πα)</v>
      </c>
      <c r="I42" s="18" t="str">
        <f>IF(PATIENT_PLANNER!R42="","",PATIENT_PLANNER!R42&amp;IF(OR(PATIENT_PLANNER!S42="",ISNUMBER(SEARCH("Καθ",PATIENT_PLANNER!S42))),""," ("&amp;PATIENT_PLANNER!S42&amp;")"))</f>
        <v/>
      </c>
      <c r="J42" s="19" t="str">
        <f>IF(PATIENT_PLANNER!T42="","",PATIENT_PLANNER!T42&amp;IF(OR(PATIENT_PLANNER!U42="",ISNUMBER(SEARCH("Καθ",PATIENT_PLANNER!U42))),""," ("&amp;PATIENT_PLANNER!U42&amp;")"))</f>
        <v/>
      </c>
      <c r="K42" s="14" t="str">
        <f>PATIENT_PLANNER!E42</f>
        <v>παρών</v>
      </c>
    </row>
    <row r="43" spans="1:11" ht="34.049999999999997" customHeight="1" x14ac:dyDescent="0.3">
      <c r="A43" s="14" t="str">
        <f>PATIENT_PLANNER!D43</f>
        <v>Ο</v>
      </c>
      <c r="B43" s="65" t="str">
        <f>PATIENT_PLANNER!B43</f>
        <v>B02</v>
      </c>
      <c r="C43" s="66" t="str">
        <f>PATIENT_PLANNER!C43</f>
        <v>ΒΑΛΛΙΑΝΟΥ</v>
      </c>
      <c r="D43" s="55" t="str">
        <f>IF(PATIENT_PLANNER!F43="","",IF(ISNUMBER(PATIENT_PLANNER!F43),TEXT(PATIENT_PLANNER!F43,"ω:λλ"),PATIENT_PLANNER!F43)&amp;IF(OR(PATIENT_PLANNER!G43="",ISNUMBER(SEARCH("Καθ",PATIENT_PLANNER!G43))),"",
" ("&amp;PATIENT_PLANNER!G43&amp;")")&amp;IF(PATIENT_PLANNER!H43&lt;&gt;"",CHAR(10)&amp;PATIENT_PLANNER!H43,""))</f>
        <v>12:15
Παπαμάνου</v>
      </c>
      <c r="E43" s="15" t="str">
        <f>IF(PATIENT_PLANNER!I43="","",IF(ISNUMBER(PATIENT_PLANNER!I43),TEXT(PATIENT_PLANNER!I43,"ω:λλ"),PATIENT_PLANNER!I43)&amp;IF(OR(PATIENT_PLANNER!J43="",ISNUMBER(SEARCH("Καθ",PATIENT_PLANNER!J43))),"",
" ("&amp;PATIENT_PLANNER!J43&amp;")")&amp;IF(PATIENT_PLANNER!K43&lt;&gt;"",CHAR(10)&amp;PATIENT_PLANNER!K43,""))</f>
        <v/>
      </c>
      <c r="F43" s="16" t="str">
        <f>IF(PATIENT_PLANNER!N43="","",PATIENT_PLANNER!N43&amp;IF(OR(PATIENT_PLANNER!O43="",ISNUMBER(SEARCH("Καθ",PATIENT_PLANNER!O43))),""," ("&amp;PATIENT_PLANNER!O43&amp;")"))</f>
        <v/>
      </c>
      <c r="G43" s="16" t="str">
        <f>IF(PATIENT_PLANNER!L43="","",PATIENT_PLANNER!L43&amp;IF(OR(PATIENT_PLANNER!M43="",ISNUMBER(SEARCH("Καθ",PATIENT_PLANNER!M43))),""," ("&amp;PATIENT_PLANNER!M43&amp;")"))</f>
        <v/>
      </c>
      <c r="H43" s="17" t="str">
        <f>IF(PATIENT_PLANNER!P43="","",PATIENT_PLANNER!P43&amp;IF(OR(PATIENT_PLANNER!Q43="",ISNUMBER(SEARCH("Καθ",PATIENT_PLANNER!Q43))),""," ("&amp;PATIENT_PLANNER!Q43&amp;")"))</f>
        <v>11:30 (Δε-Πα)</v>
      </c>
      <c r="I43" s="18" t="str">
        <f>IF(PATIENT_PLANNER!R43="","",PATIENT_PLANNER!R43&amp;IF(OR(PATIENT_PLANNER!S43="",ISNUMBER(SEARCH("Καθ",PATIENT_PLANNER!S43))),""," ("&amp;PATIENT_PLANNER!S43&amp;")"))</f>
        <v/>
      </c>
      <c r="J43" s="19" t="str">
        <f>IF(PATIENT_PLANNER!T43="","",PATIENT_PLANNER!T43&amp;IF(OR(PATIENT_PLANNER!U43="",ISNUMBER(SEARCH("Καθ",PATIENT_PLANNER!U43))),""," ("&amp;PATIENT_PLANNER!U43&amp;")"))</f>
        <v/>
      </c>
      <c r="K43" s="14" t="str">
        <f>PATIENT_PLANNER!E43</f>
        <v>παρών</v>
      </c>
    </row>
    <row r="44" spans="1:11" ht="34.049999999999997" customHeight="1" x14ac:dyDescent="0.3">
      <c r="A44" s="14" t="str">
        <f>PATIENT_PLANNER!D44</f>
        <v>Ο</v>
      </c>
      <c r="B44" s="65" t="str">
        <f>PATIENT_PLANNER!B44</f>
        <v>B02</v>
      </c>
      <c r="C44" s="66" t="str">
        <f>PATIENT_PLANNER!C44</f>
        <v>ΚΟΥΡΤΣΟΠΟΥΛΟΥ</v>
      </c>
      <c r="D44" s="55" t="str">
        <f>IF(PATIENT_PLANNER!F44="","",IF(ISNUMBER(PATIENT_PLANNER!F44),TEXT(PATIENT_PLANNER!F44,"ω:λλ"),PATIENT_PLANNER!F44)&amp;IF(OR(PATIENT_PLANNER!G44="",ISNUMBER(SEARCH("Καθ",PATIENT_PLANNER!G44))),"",
" ("&amp;PATIENT_PLANNER!G44&amp;")")&amp;IF(PATIENT_PLANNER!H44&lt;&gt;"",CHAR(10)&amp;PATIENT_PLANNER!H44,""))</f>
        <v>9:15 (Δε-Τε-Πα)
Ψιάχου</v>
      </c>
      <c r="E44" s="15" t="str">
        <f>IF(PATIENT_PLANNER!I44="","",IF(ISNUMBER(PATIENT_PLANNER!I44),TEXT(PATIENT_PLANNER!I44,"ω:λλ"),PATIENT_PLANNER!I44)&amp;IF(OR(PATIENT_PLANNER!J44="",ISNUMBER(SEARCH("Καθ",PATIENT_PLANNER!J44))),"",
" ("&amp;PATIENT_PLANNER!J44&amp;")")&amp;IF(PATIENT_PLANNER!K44&lt;&gt;"",CHAR(10)&amp;PATIENT_PLANNER!K44,""))</f>
        <v/>
      </c>
      <c r="F44" s="16" t="str">
        <f>IF(PATIENT_PLANNER!N44="","",PATIENT_PLANNER!N44&amp;IF(OR(PATIENT_PLANNER!O44="",ISNUMBER(SEARCH("Καθ",PATIENT_PLANNER!O44))),""," ("&amp;PATIENT_PLANNER!O44&amp;")"))</f>
        <v/>
      </c>
      <c r="G44" s="16" t="str">
        <f>IF(PATIENT_PLANNER!L44="","",PATIENT_PLANNER!L44&amp;IF(OR(PATIENT_PLANNER!M44="",ISNUMBER(SEARCH("Καθ",PATIENT_PLANNER!M44))),""," ("&amp;PATIENT_PLANNER!M44&amp;")"))</f>
        <v>10:30 (Δε-Τε-Πε)</v>
      </c>
      <c r="H44" s="17" t="str">
        <f>IF(PATIENT_PLANNER!P44="","",PATIENT_PLANNER!P44&amp;IF(OR(PATIENT_PLANNER!Q44="",ISNUMBER(SEARCH("Καθ",PATIENT_PLANNER!Q44))),""," ("&amp;PATIENT_PLANNER!Q44&amp;")"))</f>
        <v/>
      </c>
      <c r="I44" s="18" t="str">
        <f>IF(PATIENT_PLANNER!R44="","",PATIENT_PLANNER!R44&amp;IF(OR(PATIENT_PLANNER!S44="",ISNUMBER(SEARCH("Καθ",PATIENT_PLANNER!S44))),""," ("&amp;PATIENT_PLANNER!S44&amp;")"))</f>
        <v/>
      </c>
      <c r="J44" s="19" t="str">
        <f>IF(PATIENT_PLANNER!T44="","",PATIENT_PLANNER!T44&amp;IF(OR(PATIENT_PLANNER!U44="",ISNUMBER(SEARCH("Καθ",PATIENT_PLANNER!U44))),""," ("&amp;PATIENT_PLANNER!U44&amp;")"))</f>
        <v/>
      </c>
      <c r="K44" s="14" t="str">
        <f>PATIENT_PLANNER!E44</f>
        <v>παρών</v>
      </c>
    </row>
    <row r="45" spans="1:11" ht="34.049999999999997" customHeight="1" x14ac:dyDescent="0.3">
      <c r="A45" s="14" t="str">
        <f>PATIENT_PLANNER!D45</f>
        <v>Ο</v>
      </c>
      <c r="B45" s="65" t="str">
        <f>PATIENT_PLANNER!B45</f>
        <v>B02</v>
      </c>
      <c r="C45" s="66" t="str">
        <f>PATIENT_PLANNER!C45</f>
        <v>ΜΑΡΩΤΗ Ε</v>
      </c>
      <c r="D45" s="55" t="str">
        <f>IF(PATIENT_PLANNER!F45="","",IF(ISNUMBER(PATIENT_PLANNER!F45),TEXT(PATIENT_PLANNER!F45,"ω:λλ"),PATIENT_PLANNER!F45)&amp;IF(OR(PATIENT_PLANNER!G45="",ISNUMBER(SEARCH("Καθ",PATIENT_PLANNER!G45))),"",
" ("&amp;PATIENT_PLANNER!G45&amp;")")&amp;IF(PATIENT_PLANNER!H45&lt;&gt;"",CHAR(10)&amp;PATIENT_PLANNER!H45,""))</f>
        <v>10:00
Παπακίτσου</v>
      </c>
      <c r="E45" s="15" t="str">
        <f>IF(PATIENT_PLANNER!I45="","",IF(ISNUMBER(PATIENT_PLANNER!I45),TEXT(PATIENT_PLANNER!I45,"ω:λλ"),PATIENT_PLANNER!I45)&amp;IF(OR(PATIENT_PLANNER!J45="",ISNUMBER(SEARCH("Καθ",PATIENT_PLANNER!J45))),"",
" ("&amp;PATIENT_PLANNER!J45&amp;")")&amp;IF(PATIENT_PLANNER!K45&lt;&gt;"",CHAR(10)&amp;PATIENT_PLANNER!K45,""))</f>
        <v/>
      </c>
      <c r="F45" s="16" t="str">
        <f>IF(PATIENT_PLANNER!N45="","",PATIENT_PLANNER!N45&amp;IF(OR(PATIENT_PLANNER!O45="",ISNUMBER(SEARCH("Καθ",PATIENT_PLANNER!O45))),""," ("&amp;PATIENT_PLANNER!O45&amp;")"))</f>
        <v/>
      </c>
      <c r="G45" s="16" t="str">
        <f>IF(PATIENT_PLANNER!L45="","",PATIENT_PLANNER!L45&amp;IF(OR(PATIENT_PLANNER!M45="",ISNUMBER(SEARCH("Καθ",PATIENT_PLANNER!M45))),""," ("&amp;PATIENT_PLANNER!M45&amp;")"))</f>
        <v/>
      </c>
      <c r="H45" s="17" t="str">
        <f>IF(PATIENT_PLANNER!P45="","",PATIENT_PLANNER!P45&amp;IF(OR(PATIENT_PLANNER!Q45="",ISNUMBER(SEARCH("Καθ",PATIENT_PLANNER!Q45))),""," ("&amp;PATIENT_PLANNER!Q45&amp;")"))</f>
        <v>9:15 (Τρ-Τε-Πε)</v>
      </c>
      <c r="I45" s="18" t="str">
        <f>IF(PATIENT_PLANNER!R45="","",PATIENT_PLANNER!R45&amp;IF(OR(PATIENT_PLANNER!S45="",ISNUMBER(SEARCH("Καθ",PATIENT_PLANNER!S45))),""," ("&amp;PATIENT_PLANNER!S45&amp;")"))</f>
        <v>10:45</v>
      </c>
      <c r="J45" s="19" t="str">
        <f>IF(PATIENT_PLANNER!T45="","",PATIENT_PLANNER!T45&amp;IF(OR(PATIENT_PLANNER!U45="",ISNUMBER(SEARCH("Καθ",PATIENT_PLANNER!U45))),""," ("&amp;PATIENT_PLANNER!U45&amp;")"))</f>
        <v/>
      </c>
      <c r="K45" s="14" t="str">
        <f>PATIENT_PLANNER!E45</f>
        <v>παρών</v>
      </c>
    </row>
    <row r="46" spans="1:11" ht="34.049999999999997" customHeight="1" x14ac:dyDescent="0.3">
      <c r="A46" s="14" t="str">
        <f>PATIENT_PLANNER!D46</f>
        <v>Ο</v>
      </c>
      <c r="B46" s="65" t="str">
        <f>PATIENT_PLANNER!B46</f>
        <v>B03</v>
      </c>
      <c r="C46" s="66" t="str">
        <f>PATIENT_PLANNER!C46</f>
        <v>ΖΕΚΗ</v>
      </c>
      <c r="D46" s="55" t="str">
        <f>IF(PATIENT_PLANNER!F46="","",IF(ISNUMBER(PATIENT_PLANNER!F46),TEXT(PATIENT_PLANNER!F46,"ω:λλ"),PATIENT_PLANNER!F46)&amp;IF(OR(PATIENT_PLANNER!G46="",ISNUMBER(SEARCH("Καθ",PATIENT_PLANNER!G46))),"",
" ("&amp;PATIENT_PLANNER!G46&amp;")")&amp;IF(PATIENT_PLANNER!H46&lt;&gt;"",CHAR(10)&amp;PATIENT_PLANNER!H46,""))</f>
        <v>11:30
Αργέντος</v>
      </c>
      <c r="E46" s="15" t="str">
        <f>IF(PATIENT_PLANNER!I46="","",IF(ISNUMBER(PATIENT_PLANNER!I46),TEXT(PATIENT_PLANNER!I46,"ω:λλ"),PATIENT_PLANNER!I46)&amp;IF(OR(PATIENT_PLANNER!J46="",ISNUMBER(SEARCH("Καθ",PATIENT_PLANNER!J46))),"",
" ("&amp;PATIENT_PLANNER!J46&amp;")")&amp;IF(PATIENT_PLANNER!K46&lt;&gt;"",CHAR(10)&amp;PATIENT_PLANNER!K46,""))</f>
        <v/>
      </c>
      <c r="F46" s="16" t="str">
        <f>IF(PATIENT_PLANNER!N46="","",PATIENT_PLANNER!N46&amp;IF(OR(PATIENT_PLANNER!O46="",ISNUMBER(SEARCH("Καθ",PATIENT_PLANNER!O46))),""," ("&amp;PATIENT_PLANNER!O46&amp;")"))</f>
        <v/>
      </c>
      <c r="G46" s="16" t="str">
        <f>IF(PATIENT_PLANNER!L46="","",PATIENT_PLANNER!L46&amp;IF(OR(PATIENT_PLANNER!M46="",ISNUMBER(SEARCH("Καθ",PATIENT_PLANNER!M46))),""," ("&amp;PATIENT_PLANNER!M46&amp;")"))</f>
        <v/>
      </c>
      <c r="H46" s="17" t="str">
        <f>IF(PATIENT_PLANNER!P46="","",PATIENT_PLANNER!P46&amp;IF(OR(PATIENT_PLANNER!Q46="",ISNUMBER(SEARCH("Καθ",PATIENT_PLANNER!Q46))),""," ("&amp;PATIENT_PLANNER!Q46&amp;")"))</f>
        <v>12:15</v>
      </c>
      <c r="I46" s="18" t="str">
        <f>IF(PATIENT_PLANNER!R46="","",PATIENT_PLANNER!R46&amp;IF(OR(PATIENT_PLANNER!S46="",ISNUMBER(SEARCH("Καθ",PATIENT_PLANNER!S46))),""," ("&amp;PATIENT_PLANNER!S46&amp;")"))</f>
        <v>9:15 (Δε-Τε-Πε-Πα)</v>
      </c>
      <c r="J46" s="19" t="str">
        <f>IF(PATIENT_PLANNER!T46="","",PATIENT_PLANNER!T46&amp;IF(OR(PATIENT_PLANNER!U46="",ISNUMBER(SEARCH("Καθ",PATIENT_PLANNER!U46))),""," ("&amp;PATIENT_PLANNER!U46&amp;")"))</f>
        <v/>
      </c>
      <c r="K46" s="14" t="str">
        <f>PATIENT_PLANNER!E46</f>
        <v>παρών</v>
      </c>
    </row>
    <row r="47" spans="1:11" ht="34.049999999999997" customHeight="1" x14ac:dyDescent="0.3">
      <c r="A47" s="14" t="str">
        <f>PATIENT_PLANNER!D47</f>
        <v>Ο</v>
      </c>
      <c r="B47" s="65" t="str">
        <f>PATIENT_PLANNER!B47</f>
        <v>B03</v>
      </c>
      <c r="C47" s="66" t="str">
        <f>PATIENT_PLANNER!C47</f>
        <v>ΠΑΠΑΝΑΓΙΩΤΟΥ</v>
      </c>
      <c r="D47" s="55" t="str">
        <f>IF(PATIENT_PLANNER!F47="","",IF(ISNUMBER(PATIENT_PLANNER!F47),TEXT(PATIENT_PLANNER!F47,"ω:λλ"),PATIENT_PLANNER!F47)&amp;IF(OR(PATIENT_PLANNER!G47="",ISNUMBER(SEARCH("Καθ",PATIENT_PLANNER!G47))),"",
" ("&amp;PATIENT_PLANNER!G47&amp;")")&amp;IF(PATIENT_PLANNER!H47&lt;&gt;"",CHAR(10)&amp;PATIENT_PLANNER!H47,""))</f>
        <v>11:30 (Δε-Τε-Πα)
Ψιάχου</v>
      </c>
      <c r="E47" s="15" t="str">
        <f>IF(PATIENT_PLANNER!I47="","",IF(ISNUMBER(PATIENT_PLANNER!I47),TEXT(PATIENT_PLANNER!I47,"ω:λλ"),PATIENT_PLANNER!I47)&amp;IF(OR(PATIENT_PLANNER!J47="",ISNUMBER(SEARCH("Καθ",PATIENT_PLANNER!J47))),"",
" ("&amp;PATIENT_PLANNER!J47&amp;")")&amp;IF(PATIENT_PLANNER!K47&lt;&gt;"",CHAR(10)&amp;PATIENT_PLANNER!K47,""))</f>
        <v/>
      </c>
      <c r="F47" s="16" t="str">
        <f>IF(PATIENT_PLANNER!N47="","",PATIENT_PLANNER!N47&amp;IF(OR(PATIENT_PLANNER!O47="",ISNUMBER(SEARCH("Καθ",PATIENT_PLANNER!O47))),""," ("&amp;PATIENT_PLANNER!O47&amp;")"))</f>
        <v/>
      </c>
      <c r="G47" s="16" t="str">
        <f>IF(PATIENT_PLANNER!L47="","",PATIENT_PLANNER!L47&amp;IF(OR(PATIENT_PLANNER!M47="",ISNUMBER(SEARCH("Καθ",PATIENT_PLANNER!M47))),""," ("&amp;PATIENT_PLANNER!M47&amp;")"))</f>
        <v/>
      </c>
      <c r="H47" s="17" t="str">
        <f>IF(PATIENT_PLANNER!P47="","",PATIENT_PLANNER!P47&amp;IF(OR(PATIENT_PLANNER!Q47="",ISNUMBER(SEARCH("Καθ",PATIENT_PLANNER!Q47))),""," ("&amp;PATIENT_PLANNER!Q47&amp;")"))</f>
        <v>11:30 (Τρ-Πε)</v>
      </c>
      <c r="I47" s="18" t="str">
        <f>IF(PATIENT_PLANNER!R47="","",PATIENT_PLANNER!R47&amp;IF(OR(PATIENT_PLANNER!S47="",ISNUMBER(SEARCH("Καθ",PATIENT_PLANNER!S47))),""," ("&amp;PATIENT_PLANNER!S47&amp;")"))</f>
        <v/>
      </c>
      <c r="J47" s="19" t="str">
        <f>IF(PATIENT_PLANNER!T47="","",PATIENT_PLANNER!T47&amp;IF(OR(PATIENT_PLANNER!U47="",ISNUMBER(SEARCH("Καθ",PATIENT_PLANNER!U47))),""," ("&amp;PATIENT_PLANNER!U47&amp;")"))</f>
        <v/>
      </c>
      <c r="K47" s="14" t="str">
        <f>PATIENT_PLANNER!E47</f>
        <v>παρών</v>
      </c>
    </row>
    <row r="48" spans="1:11" ht="34.049999999999997" customHeight="1" x14ac:dyDescent="0.3">
      <c r="A48" s="14" t="str">
        <f>PATIENT_PLANNER!D48</f>
        <v>Ο</v>
      </c>
      <c r="B48" s="65" t="str">
        <f>PATIENT_PLANNER!B48</f>
        <v>B03</v>
      </c>
      <c r="C48" s="66" t="str">
        <f>PATIENT_PLANNER!C48</f>
        <v>ΣΩΤΗΡΙΟΥ ΣΩΤ</v>
      </c>
      <c r="D48" s="55" t="str">
        <f>IF(PATIENT_PLANNER!F48="","",IF(ISNUMBER(PATIENT_PLANNER!F48),TEXT(PATIENT_PLANNER!F48,"ω:λλ"),PATIENT_PLANNER!F48)&amp;IF(OR(PATIENT_PLANNER!G48="",ISNUMBER(SEARCH("Καθ",PATIENT_PLANNER!G48))),"",
" ("&amp;PATIENT_PLANNER!G48&amp;")")&amp;IF(PATIENT_PLANNER!H48&lt;&gt;"",CHAR(10)&amp;PATIENT_PLANNER!H48,""))</f>
        <v>8:30
Χρήστου</v>
      </c>
      <c r="E48" s="15" t="str">
        <f>IF(PATIENT_PLANNER!I48="","",IF(ISNUMBER(PATIENT_PLANNER!I48),TEXT(PATIENT_PLANNER!I48,"ω:λλ"),PATIENT_PLANNER!I48)&amp;IF(OR(PATIENT_PLANNER!J48="",ISNUMBER(SEARCH("Καθ",PATIENT_PLANNER!J48))),"",
" ("&amp;PATIENT_PLANNER!J48&amp;")")&amp;IF(PATIENT_PLANNER!K48&lt;&gt;"",CHAR(10)&amp;PATIENT_PLANNER!K48,""))</f>
        <v/>
      </c>
      <c r="F48" s="16" t="str">
        <f>IF(PATIENT_PLANNER!N48="","",PATIENT_PLANNER!N48&amp;IF(OR(PATIENT_PLANNER!O48="",ISNUMBER(SEARCH("Καθ",PATIENT_PLANNER!O48))),""," ("&amp;PATIENT_PLANNER!O48&amp;")"))</f>
        <v/>
      </c>
      <c r="G48" s="16" t="str">
        <f>IF(PATIENT_PLANNER!L48="","",PATIENT_PLANNER!L48&amp;IF(OR(PATIENT_PLANNER!M48="",ISNUMBER(SEARCH("Καθ",PATIENT_PLANNER!M48))),""," ("&amp;PATIENT_PLANNER!M48&amp;")"))</f>
        <v/>
      </c>
      <c r="H48" s="17" t="str">
        <f>IF(PATIENT_PLANNER!P48="","",PATIENT_PLANNER!P48&amp;IF(OR(PATIENT_PLANNER!Q48="",ISNUMBER(SEARCH("Καθ",PATIENT_PLANNER!Q48))),""," ("&amp;PATIENT_PLANNER!Q48&amp;")"))</f>
        <v>10:00 (Τρ-Τε-Πε-Πα)</v>
      </c>
      <c r="I48" s="18" t="str">
        <f>IF(PATIENT_PLANNER!R48="","",PATIENT_PLANNER!R48&amp;IF(OR(PATIENT_PLANNER!S48="",ISNUMBER(SEARCH("Καθ",PATIENT_PLANNER!S48))),""," ("&amp;PATIENT_PLANNER!S48&amp;")"))</f>
        <v>10:00 (Δευτέρα)</v>
      </c>
      <c r="J48" s="19" t="str">
        <f>IF(PATIENT_PLANNER!T48="","",PATIENT_PLANNER!T48&amp;IF(OR(PATIENT_PLANNER!U48="",ISNUMBER(SEARCH("Καθ",PATIENT_PLANNER!U48))),""," ("&amp;PATIENT_PLANNER!U48&amp;")"))</f>
        <v/>
      </c>
      <c r="K48" s="14" t="str">
        <f>PATIENT_PLANNER!E48</f>
        <v>παρών</v>
      </c>
    </row>
    <row r="49" spans="1:11" ht="34.049999999999997" customHeight="1" x14ac:dyDescent="0.3">
      <c r="A49" s="14" t="str">
        <f>PATIENT_PLANNER!D49</f>
        <v>Ο</v>
      </c>
      <c r="B49" s="65" t="str">
        <f>PATIENT_PLANNER!B49</f>
        <v>B04</v>
      </c>
      <c r="C49" s="66" t="str">
        <f>PATIENT_PLANNER!C49</f>
        <v>KOCANINI</v>
      </c>
      <c r="D49" s="55" t="str">
        <f>IF(PATIENT_PLANNER!F49="","",IF(ISNUMBER(PATIENT_PLANNER!F49),TEXT(PATIENT_PLANNER!F49,"ω:λλ"),PATIENT_PLANNER!F49)&amp;IF(OR(PATIENT_PLANNER!G49="",ISNUMBER(SEARCH("Καθ",PATIENT_PLANNER!G49))),"",
" ("&amp;PATIENT_PLANNER!G49&amp;")")&amp;IF(PATIENT_PLANNER!H49&lt;&gt;"",CHAR(10)&amp;PATIENT_PLANNER!H49,""))</f>
        <v>10:00
Γουνελάς</v>
      </c>
      <c r="E49" s="15" t="str">
        <f>IF(PATIENT_PLANNER!I49="","",IF(ISNUMBER(PATIENT_PLANNER!I49),TEXT(PATIENT_PLANNER!I49,"ω:λλ"),PATIENT_PLANNER!I49)&amp;IF(OR(PATIENT_PLANNER!J49="",ISNUMBER(SEARCH("Καθ",PATIENT_PLANNER!J49))),"",
" ("&amp;PATIENT_PLANNER!J49&amp;")")&amp;IF(PATIENT_PLANNER!K49&lt;&gt;"",CHAR(10)&amp;PATIENT_PLANNER!K49,""))</f>
        <v/>
      </c>
      <c r="F49" s="16" t="str">
        <f>IF(PATIENT_PLANNER!N49="","",PATIENT_PLANNER!N49&amp;IF(OR(PATIENT_PLANNER!O49="",ISNUMBER(SEARCH("Καθ",PATIENT_PLANNER!O49))),""," ("&amp;PATIENT_PLANNER!O49&amp;")"))</f>
        <v/>
      </c>
      <c r="G49" s="16" t="str">
        <f>IF(PATIENT_PLANNER!L49="","",PATIENT_PLANNER!L49&amp;IF(OR(PATIENT_PLANNER!M49="",ISNUMBER(SEARCH("Καθ",PATIENT_PLANNER!M49))),""," ("&amp;PATIENT_PLANNER!M49&amp;")"))</f>
        <v/>
      </c>
      <c r="H49" s="17" t="str">
        <f>IF(PATIENT_PLANNER!P49="","",PATIENT_PLANNER!P49&amp;IF(OR(PATIENT_PLANNER!Q49="",ISNUMBER(SEARCH("Καθ",PATIENT_PLANNER!Q49))),""," ("&amp;PATIENT_PLANNER!Q49&amp;")"))</f>
        <v>10:45</v>
      </c>
      <c r="I49" s="18" t="str">
        <f>IF(PATIENT_PLANNER!R49="","",PATIENT_PLANNER!R49&amp;IF(OR(PATIENT_PLANNER!S49="",ISNUMBER(SEARCH("Καθ",PATIENT_PLANNER!S49))),""," ("&amp;PATIENT_PLANNER!S49&amp;")"))</f>
        <v>12:15 (Τετάρτη)</v>
      </c>
      <c r="J49" s="19" t="str">
        <f>IF(PATIENT_PLANNER!T49="","",PATIENT_PLANNER!T49&amp;IF(OR(PATIENT_PLANNER!U49="",ISNUMBER(SEARCH("Καθ",PATIENT_PLANNER!U49))),""," ("&amp;PATIENT_PLANNER!U49&amp;")"))</f>
        <v/>
      </c>
      <c r="K49" s="14" t="str">
        <f>PATIENT_PLANNER!E49</f>
        <v>παρών</v>
      </c>
    </row>
    <row r="50" spans="1:11" ht="34.049999999999997" customHeight="1" x14ac:dyDescent="0.3">
      <c r="A50" s="14" t="str">
        <f>PATIENT_PLANNER!D50</f>
        <v>Ο</v>
      </c>
      <c r="B50" s="65" t="str">
        <f>PATIENT_PLANNER!B50</f>
        <v>B04</v>
      </c>
      <c r="C50" s="66" t="str">
        <f>PATIENT_PLANNER!C50</f>
        <v>ΜΑΚΡΙΔΑΚΗΣ</v>
      </c>
      <c r="D50" s="55" t="str">
        <f>IF(PATIENT_PLANNER!F50="","",IF(ISNUMBER(PATIENT_PLANNER!F50),TEXT(PATIENT_PLANNER!F50,"ω:λλ"),PATIENT_PLANNER!F50)&amp;IF(OR(PATIENT_PLANNER!G50="",ISNUMBER(SEARCH("Καθ",PATIENT_PLANNER!G50))),"",
" ("&amp;PATIENT_PLANNER!G50&amp;")")&amp;IF(PATIENT_PLANNER!H50&lt;&gt;"",CHAR(10)&amp;PATIENT_PLANNER!H50,""))</f>
        <v>10:45
Ψιάχου</v>
      </c>
      <c r="E50" s="15" t="str">
        <f>IF(PATIENT_PLANNER!I50="","",IF(ISNUMBER(PATIENT_PLANNER!I50),TEXT(PATIENT_PLANNER!I50,"ω:λλ"),PATIENT_PLANNER!I50)&amp;IF(OR(PATIENT_PLANNER!J50="",ISNUMBER(SEARCH("Καθ",PATIENT_PLANNER!J50))),"",
" ("&amp;PATIENT_PLANNER!J50&amp;")")&amp;IF(PATIENT_PLANNER!K50&lt;&gt;"",CHAR(10)&amp;PATIENT_PLANNER!K50,""))</f>
        <v>9:15 (Τρ-Πε)
Καλυβιώτης</v>
      </c>
      <c r="F50" s="16" t="str">
        <f>IF(PATIENT_PLANNER!N50="","",PATIENT_PLANNER!N50&amp;IF(OR(PATIENT_PLANNER!O50="",ISNUMBER(SEARCH("Καθ",PATIENT_PLANNER!O50))),""," ("&amp;PATIENT_PLANNER!O50&amp;")"))</f>
        <v/>
      </c>
      <c r="G50" s="16" t="str">
        <f>IF(PATIENT_PLANNER!L50="","",PATIENT_PLANNER!L50&amp;IF(OR(PATIENT_PLANNER!M50="",ISNUMBER(SEARCH("Καθ",PATIENT_PLANNER!M50))),""," ("&amp;PATIENT_PLANNER!M50&amp;")"))</f>
        <v>10:00 (Δε-Τε-Πε)</v>
      </c>
      <c r="H50" s="17" t="str">
        <f>IF(PATIENT_PLANNER!P50="","",PATIENT_PLANNER!P50&amp;IF(OR(PATIENT_PLANNER!Q50="",ISNUMBER(SEARCH("Καθ",PATIENT_PLANNER!Q50))),""," ("&amp;PATIENT_PLANNER!Q50&amp;")"))</f>
        <v>11:30 (Τρ-Πε)</v>
      </c>
      <c r="I50" s="18" t="str">
        <f>IF(PATIENT_PLANNER!R50="","",PATIENT_PLANNER!R50&amp;IF(OR(PATIENT_PLANNER!S50="",ISNUMBER(SEARCH("Καθ",PATIENT_PLANNER!S50))),""," ("&amp;PATIENT_PLANNER!S50&amp;")"))</f>
        <v/>
      </c>
      <c r="J50" s="19" t="str">
        <f>IF(PATIENT_PLANNER!T50="","",PATIENT_PLANNER!T50&amp;IF(OR(PATIENT_PLANNER!U50="",ISNUMBER(SEARCH("Καθ",PATIENT_PLANNER!U50))),""," ("&amp;PATIENT_PLANNER!U50&amp;")"))</f>
        <v/>
      </c>
      <c r="K50" s="14" t="str">
        <f>PATIENT_PLANNER!E50</f>
        <v>παρών</v>
      </c>
    </row>
    <row r="51" spans="1:11" ht="34.049999999999997" customHeight="1" x14ac:dyDescent="0.3">
      <c r="A51" s="14" t="str">
        <f>PATIENT_PLANNER!D51</f>
        <v>Ο</v>
      </c>
      <c r="B51" s="65" t="str">
        <f>PATIENT_PLANNER!B51</f>
        <v>B04</v>
      </c>
      <c r="C51" s="66" t="str">
        <f>PATIENT_PLANNER!C51</f>
        <v>ΟΔΥΣΣΕΩΣ</v>
      </c>
      <c r="D51" s="55" t="str">
        <f>IF(PATIENT_PLANNER!F51="","",IF(ISNUMBER(PATIENT_PLANNER!F51),TEXT(PATIENT_PLANNER!F51,"ω:λλ"),PATIENT_PLANNER!F51)&amp;IF(OR(PATIENT_PLANNER!G51="",ISNUMBER(SEARCH("Καθ",PATIENT_PLANNER!G51))),"",
" ("&amp;PATIENT_PLANNER!G51&amp;")")&amp;IF(PATIENT_PLANNER!H51&lt;&gt;"",CHAR(10)&amp;PATIENT_PLANNER!H51,""))</f>
        <v/>
      </c>
      <c r="E51" s="15" t="str">
        <f>IF(PATIENT_PLANNER!I51="","",IF(ISNUMBER(PATIENT_PLANNER!I51),TEXT(PATIENT_PLANNER!I51,"ω:λλ"),PATIENT_PLANNER!I51)&amp;IF(OR(PATIENT_PLANNER!J51="",ISNUMBER(SEARCH("Καθ",PATIENT_PLANNER!J51))),"",
" ("&amp;PATIENT_PLANNER!J51&amp;")")&amp;IF(PATIENT_PLANNER!K51&lt;&gt;"",CHAR(10)&amp;PATIENT_PLANNER!K51,""))</f>
        <v/>
      </c>
      <c r="F51" s="16" t="str">
        <f>IF(PATIENT_PLANNER!N51="","",PATIENT_PLANNER!N51&amp;IF(OR(PATIENT_PLANNER!O51="",ISNUMBER(SEARCH("Καθ",PATIENT_PLANNER!O51))),""," ("&amp;PATIENT_PLANNER!O51&amp;")"))</f>
        <v/>
      </c>
      <c r="G51" s="16" t="str">
        <f>IF(PATIENT_PLANNER!L51="","",PATIENT_PLANNER!L51&amp;IF(OR(PATIENT_PLANNER!M51="",ISNUMBER(SEARCH("Καθ",PATIENT_PLANNER!M51))),""," ("&amp;PATIENT_PLANNER!M51&amp;")"))</f>
        <v/>
      </c>
      <c r="H51" s="17" t="str">
        <f>IF(PATIENT_PLANNER!P51="","",PATIENT_PLANNER!P51&amp;IF(OR(PATIENT_PLANNER!Q51="",ISNUMBER(SEARCH("Καθ",PATIENT_PLANNER!Q51))),""," ("&amp;PATIENT_PLANNER!Q51&amp;")"))</f>
        <v>11:30 (Τρ-Πε)</v>
      </c>
      <c r="I51" s="18" t="str">
        <f>IF(PATIENT_PLANNER!R51="","",PATIENT_PLANNER!R51&amp;IF(OR(PATIENT_PLANNER!S51="",ISNUMBER(SEARCH("Καθ",PATIENT_PLANNER!S51))),""," ("&amp;PATIENT_PLANNER!S51&amp;")"))</f>
        <v>9:15 (Δε-Τε)</v>
      </c>
      <c r="J51" s="19" t="str">
        <f>IF(PATIENT_PLANNER!T51="","",PATIENT_PLANNER!T51&amp;IF(OR(PATIENT_PLANNER!U51="",ISNUMBER(SEARCH("Καθ",PATIENT_PLANNER!U51))),""," ("&amp;PATIENT_PLANNER!U51&amp;")"))</f>
        <v/>
      </c>
      <c r="K51" s="14" t="str">
        <f>PATIENT_PLANNER!E51</f>
        <v>διακομισμένος</v>
      </c>
    </row>
    <row r="52" spans="1:11" ht="34.049999999999997" customHeight="1" x14ac:dyDescent="0.3">
      <c r="A52" s="14" t="str">
        <f>PATIENT_PLANNER!D52</f>
        <v>Ο</v>
      </c>
      <c r="B52" s="65" t="str">
        <f>PATIENT_PLANNER!B52</f>
        <v>B04</v>
      </c>
      <c r="C52" s="66" t="str">
        <f>PATIENT_PLANNER!C52</f>
        <v>ΣΤΑΣΙΝΟΣ</v>
      </c>
      <c r="D52" s="55" t="str">
        <f>IF(PATIENT_PLANNER!F52="","",IF(ISNUMBER(PATIENT_PLANNER!F52),TEXT(PATIENT_PLANNER!F52,"ω:λλ"),PATIENT_PLANNER!F52)&amp;IF(OR(PATIENT_PLANNER!G52="",ISNUMBER(SEARCH("Καθ",PATIENT_PLANNER!G52))),"",
" ("&amp;PATIENT_PLANNER!G52&amp;")")&amp;IF(PATIENT_PLANNER!H52&lt;&gt;"",CHAR(10)&amp;PATIENT_PLANNER!H52,""))</f>
        <v>8:30
Ψιάχου</v>
      </c>
      <c r="E52" s="15" t="str">
        <f>IF(PATIENT_PLANNER!I52="","",IF(ISNUMBER(PATIENT_PLANNER!I52),TEXT(PATIENT_PLANNER!I52,"ω:λλ"),PATIENT_PLANNER!I52)&amp;IF(OR(PATIENT_PLANNER!J52="",ISNUMBER(SEARCH("Καθ",PATIENT_PLANNER!J52))),"",
" ("&amp;PATIENT_PLANNER!J52&amp;")")&amp;IF(PATIENT_PLANNER!K52&lt;&gt;"",CHAR(10)&amp;PATIENT_PLANNER!K52,""))</f>
        <v/>
      </c>
      <c r="F52" s="16" t="str">
        <f>IF(PATIENT_PLANNER!N52="","",PATIENT_PLANNER!N52&amp;IF(OR(PATIENT_PLANNER!O52="",ISNUMBER(SEARCH("Καθ",PATIENT_PLANNER!O52))),""," ("&amp;PATIENT_PLANNER!O52&amp;")"))</f>
        <v/>
      </c>
      <c r="G52" s="16" t="str">
        <f>IF(PATIENT_PLANNER!L52="","",PATIENT_PLANNER!L52&amp;IF(OR(PATIENT_PLANNER!M52="",ISNUMBER(SEARCH("Καθ",PATIENT_PLANNER!M52))),""," ("&amp;PATIENT_PLANNER!M52&amp;")"))</f>
        <v/>
      </c>
      <c r="H52" s="17" t="str">
        <f>IF(PATIENT_PLANNER!P52="","",PATIENT_PLANNER!P52&amp;IF(OR(PATIENT_PLANNER!Q52="",ISNUMBER(SEARCH("Καθ",PATIENT_PLANNER!Q52))),""," ("&amp;PATIENT_PLANNER!Q52&amp;")"))</f>
        <v>9:15</v>
      </c>
      <c r="I52" s="18" t="str">
        <f>IF(PATIENT_PLANNER!R52="","",PATIENT_PLANNER!R52&amp;IF(OR(PATIENT_PLANNER!S52="",ISNUMBER(SEARCH("Καθ",PATIENT_PLANNER!S52))),""," ("&amp;PATIENT_PLANNER!S52&amp;")"))</f>
        <v/>
      </c>
      <c r="J52" s="19" t="str">
        <f>IF(PATIENT_PLANNER!T52="","",PATIENT_PLANNER!T52&amp;IF(OR(PATIENT_PLANNER!U52="",ISNUMBER(SEARCH("Καθ",PATIENT_PLANNER!U52))),""," ("&amp;PATIENT_PLANNER!U52&amp;")"))</f>
        <v/>
      </c>
      <c r="K52" s="14" t="str">
        <f>PATIENT_PLANNER!E52</f>
        <v>παρών</v>
      </c>
    </row>
    <row r="53" spans="1:11" ht="34.049999999999997" customHeight="1" x14ac:dyDescent="0.3">
      <c r="A53" s="14" t="str">
        <f>PATIENT_PLANNER!D53</f>
        <v>Ο</v>
      </c>
      <c r="B53" s="65" t="str">
        <f>PATIENT_PLANNER!B53</f>
        <v>B05</v>
      </c>
      <c r="C53" s="66" t="str">
        <f>PATIENT_PLANNER!C53</f>
        <v>ΑΓΓΕΛΟΠΟΥΛΟΣ</v>
      </c>
      <c r="D53" s="55" t="str">
        <f>IF(PATIENT_PLANNER!F53="","",IF(ISNUMBER(PATIENT_PLANNER!F53),TEXT(PATIENT_PLANNER!F53,"ω:λλ"),PATIENT_PLANNER!F53)&amp;IF(OR(PATIENT_PLANNER!G53="",ISNUMBER(SEARCH("Καθ",PATIENT_PLANNER!G53))),"",
" ("&amp;PATIENT_PLANNER!G53&amp;")")&amp;IF(PATIENT_PLANNER!H53&lt;&gt;"",CHAR(10)&amp;PATIENT_PLANNER!H53,""))</f>
        <v>12:15
Ψιάχου</v>
      </c>
      <c r="E53" s="15" t="str">
        <f>IF(PATIENT_PLANNER!I53="","",IF(ISNUMBER(PATIENT_PLANNER!I53),TEXT(PATIENT_PLANNER!I53,"ω:λλ"),PATIENT_PLANNER!I53)&amp;IF(OR(PATIENT_PLANNER!J53="",ISNUMBER(SEARCH("Καθ",PATIENT_PLANNER!J53))),"",
" ("&amp;PATIENT_PLANNER!J53&amp;")")&amp;IF(PATIENT_PLANNER!K53&lt;&gt;"",CHAR(10)&amp;PATIENT_PLANNER!K53,""))</f>
        <v/>
      </c>
      <c r="F53" s="16" t="str">
        <f>IF(PATIENT_PLANNER!N53="","",PATIENT_PLANNER!N53&amp;IF(OR(PATIENT_PLANNER!O53="",ISNUMBER(SEARCH("Καθ",PATIENT_PLANNER!O53))),""," ("&amp;PATIENT_PLANNER!O53&amp;")"))</f>
        <v/>
      </c>
      <c r="G53" s="16" t="str">
        <f>IF(PATIENT_PLANNER!L53="","",PATIENT_PLANNER!L53&amp;IF(OR(PATIENT_PLANNER!M53="",ISNUMBER(SEARCH("Καθ",PATIENT_PLANNER!M53))),""," ("&amp;PATIENT_PLANNER!M53&amp;")"))</f>
        <v/>
      </c>
      <c r="H53" s="17" t="str">
        <f>IF(PATIENT_PLANNER!P53="","",PATIENT_PLANNER!P53&amp;IF(OR(PATIENT_PLANNER!Q53="",ISNUMBER(SEARCH("Καθ",PATIENT_PLANNER!Q53))),""," ("&amp;PATIENT_PLANNER!Q53&amp;")"))</f>
        <v>10:45 (Δε-Τε-Πα)</v>
      </c>
      <c r="I53" s="18" t="str">
        <f>IF(PATIENT_PLANNER!R53="","",PATIENT_PLANNER!R53&amp;IF(OR(PATIENT_PLANNER!S53="",ISNUMBER(SEARCH("Καθ",PATIENT_PLANNER!S53))),""," ("&amp;PATIENT_PLANNER!S53&amp;")"))</f>
        <v/>
      </c>
      <c r="J53" s="19" t="str">
        <f>IF(PATIENT_PLANNER!T53="","",PATIENT_PLANNER!T53&amp;IF(OR(PATIENT_PLANNER!U53="",ISNUMBER(SEARCH("Καθ",PATIENT_PLANNER!U53))),""," ("&amp;PATIENT_PLANNER!U53&amp;")"))</f>
        <v/>
      </c>
      <c r="K53" s="14" t="str">
        <f>PATIENT_PLANNER!E53</f>
        <v>παρών</v>
      </c>
    </row>
    <row r="54" spans="1:11" ht="34.049999999999997" customHeight="1" x14ac:dyDescent="0.3">
      <c r="A54" s="14" t="str">
        <f>PATIENT_PLANNER!D54</f>
        <v>Ν</v>
      </c>
      <c r="B54" s="53" t="str">
        <f>PATIENT_PLANNER!B54</f>
        <v>B10</v>
      </c>
      <c r="C54" s="54" t="str">
        <f>PATIENT_PLANNER!C54</f>
        <v>ΔΙΑΤΣΙΝΤΟΣ</v>
      </c>
      <c r="D54" s="55" t="str">
        <f>IF(PATIENT_PLANNER!F54="","",IF(ISNUMBER(PATIENT_PLANNER!F54),TEXT(PATIENT_PLANNER!F54,"ω:λλ"),PATIENT_PLANNER!F54)&amp;IF(OR(PATIENT_PLANNER!G54="",ISNUMBER(SEARCH("Καθ",PATIENT_PLANNER!G54))),"",
" ("&amp;PATIENT_PLANNER!G54&amp;")")&amp;IF(PATIENT_PLANNER!H54&lt;&gt;"",CHAR(10)&amp;PATIENT_PLANNER!H54,""))</f>
        <v>9:15
Χρήστου</v>
      </c>
      <c r="E54" s="15" t="str">
        <f>IF(PATIENT_PLANNER!I54="","",IF(ISNUMBER(PATIENT_PLANNER!I54),TEXT(PATIENT_PLANNER!I54,"ω:λλ"),PATIENT_PLANNER!I54)&amp;IF(OR(PATIENT_PLANNER!J54="",ISNUMBER(SEARCH("Καθ",PATIENT_PLANNER!J54))),"",
" ("&amp;PATIENT_PLANNER!J54&amp;")")&amp;IF(PATIENT_PLANNER!K54&lt;&gt;"",CHAR(10)&amp;PATIENT_PLANNER!K54,""))</f>
        <v/>
      </c>
      <c r="F54" s="16" t="str">
        <f>IF(PATIENT_PLANNER!N54="","",PATIENT_PLANNER!N54&amp;IF(OR(PATIENT_PLANNER!O54="",ISNUMBER(SEARCH("Καθ",PATIENT_PLANNER!O54))),""," ("&amp;PATIENT_PLANNER!O54&amp;")"))</f>
        <v/>
      </c>
      <c r="G54" s="16" t="str">
        <f>IF(PATIENT_PLANNER!L54="","",PATIENT_PLANNER!L54&amp;IF(OR(PATIENT_PLANNER!M54="",ISNUMBER(SEARCH("Καθ",PATIENT_PLANNER!M54))),""," ("&amp;PATIENT_PLANNER!M54&amp;")"))</f>
        <v/>
      </c>
      <c r="H54" s="17" t="str">
        <f>IF(PATIENT_PLANNER!P54="","",PATIENT_PLANNER!P54&amp;IF(OR(PATIENT_PLANNER!Q54="",ISNUMBER(SEARCH("Καθ",PATIENT_PLANNER!Q54))),""," ("&amp;PATIENT_PLANNER!Q54&amp;")"))</f>
        <v>10:00</v>
      </c>
      <c r="I54" s="18" t="str">
        <f>IF(PATIENT_PLANNER!R54="","",PATIENT_PLANNER!R54&amp;IF(OR(PATIENT_PLANNER!S54="",ISNUMBER(SEARCH("Καθ",PATIENT_PLANNER!S54))),""," ("&amp;PATIENT_PLANNER!S54&amp;")"))</f>
        <v/>
      </c>
      <c r="J54" s="19" t="str">
        <f>IF(PATIENT_PLANNER!T54="","",PATIENT_PLANNER!T54&amp;IF(OR(PATIENT_PLANNER!U54="",ISNUMBER(SEARCH("Καθ",PATIENT_PLANNER!U54))),""," ("&amp;PATIENT_PLANNER!U54&amp;")"))</f>
        <v/>
      </c>
      <c r="K54" s="14" t="str">
        <f>PATIENT_PLANNER!E54</f>
        <v>διακομισμένος</v>
      </c>
    </row>
    <row r="55" spans="1:11" ht="34.049999999999997" customHeight="1" x14ac:dyDescent="0.3">
      <c r="A55" s="14" t="str">
        <f>PATIENT_PLANNER!D55</f>
        <v>Ν</v>
      </c>
      <c r="B55" s="53" t="str">
        <f>PATIENT_PLANNER!B55</f>
        <v>B09</v>
      </c>
      <c r="C55" s="54" t="str">
        <f>PATIENT_PLANNER!C55</f>
        <v>ΜΑΤΘΙΟΥΛΑΚΗΣ</v>
      </c>
      <c r="D55" s="55" t="str">
        <f>IF(PATIENT_PLANNER!F55="","",IF(ISNUMBER(PATIENT_PLANNER!F55),TEXT(PATIENT_PLANNER!F55,"ω:λλ"),PATIENT_PLANNER!F55)&amp;IF(OR(PATIENT_PLANNER!G55="",ISNUMBER(SEARCH("Καθ",PATIENT_PLANNER!G55))),"",
" ("&amp;PATIENT_PLANNER!G55&amp;")")&amp;IF(PATIENT_PLANNER!H55&lt;&gt;"",CHAR(10)&amp;PATIENT_PLANNER!H55,""))</f>
        <v>11:30
Βασιλειάδης</v>
      </c>
      <c r="E55" s="15" t="str">
        <f>IF(PATIENT_PLANNER!I55="","",IF(ISNUMBER(PATIENT_PLANNER!I55),TEXT(PATIENT_PLANNER!I55,"ω:λλ"),PATIENT_PLANNER!I55)&amp;IF(OR(PATIENT_PLANNER!J55="",ISNUMBER(SEARCH("Καθ",PATIENT_PLANNER!J55))),"",
" ("&amp;PATIENT_PLANNER!J55&amp;")")&amp;IF(PATIENT_PLANNER!K55&lt;&gt;"",CHAR(10)&amp;PATIENT_PLANNER!K55,""))</f>
        <v/>
      </c>
      <c r="F55" s="16" t="str">
        <f>IF(PATIENT_PLANNER!N55="","",PATIENT_PLANNER!N55&amp;IF(OR(PATIENT_PLANNER!O55="",ISNUMBER(SEARCH("Καθ",PATIENT_PLANNER!O55))),""," ("&amp;PATIENT_PLANNER!O55&amp;")"))</f>
        <v/>
      </c>
      <c r="G55" s="16" t="str">
        <f>IF(PATIENT_PLANNER!L55="","",PATIENT_PLANNER!L55&amp;IF(OR(PATIENT_PLANNER!M55="",ISNUMBER(SEARCH("Καθ",PATIENT_PLANNER!M55))),""," ("&amp;PATIENT_PLANNER!M55&amp;")"))</f>
        <v/>
      </c>
      <c r="H55" s="17" t="str">
        <f>IF(PATIENT_PLANNER!P55="","",PATIENT_PLANNER!P55&amp;IF(OR(PATIENT_PLANNER!Q55="",ISNUMBER(SEARCH("Καθ",PATIENT_PLANNER!Q55))),""," ("&amp;PATIENT_PLANNER!Q55&amp;")"))</f>
        <v>10:00 (Δ-Τρ-Πε-Π)</v>
      </c>
      <c r="I55" s="18" t="str">
        <f>IF(PATIENT_PLANNER!R55="","",PATIENT_PLANNER!R55&amp;IF(OR(PATIENT_PLANNER!S55="",ISNUMBER(SEARCH("Καθ",PATIENT_PLANNER!S55))),""," ("&amp;PATIENT_PLANNER!S55&amp;")"))</f>
        <v/>
      </c>
      <c r="J55" s="19" t="str">
        <f>IF(PATIENT_PLANNER!T55="","",PATIENT_PLANNER!T55&amp;IF(OR(PATIENT_PLANNER!U55="",ISNUMBER(SEARCH("Καθ",PATIENT_PLANNER!U55))),""," ("&amp;PATIENT_PLANNER!U55&amp;")"))</f>
        <v/>
      </c>
      <c r="K55" s="14" t="str">
        <f>PATIENT_PLANNER!E55</f>
        <v>παρών</v>
      </c>
    </row>
    <row r="56" spans="1:11" ht="34.049999999999997" customHeight="1" x14ac:dyDescent="0.3">
      <c r="A56" s="14" t="str">
        <f>PATIENT_PLANNER!D56</f>
        <v>Ο</v>
      </c>
      <c r="B56" s="65" t="str">
        <f>PATIENT_PLANNER!B56</f>
        <v>B05</v>
      </c>
      <c r="C56" s="66" t="str">
        <f>PATIENT_PLANNER!C56</f>
        <v>ΜΥΛΩΝΙΔΗΣ</v>
      </c>
      <c r="D56" s="55" t="str">
        <f>IF(PATIENT_PLANNER!F56="","",IF(ISNUMBER(PATIENT_PLANNER!F56),TEXT(PATIENT_PLANNER!F56,"ω:λλ"),PATIENT_PLANNER!F56)&amp;IF(OR(PATIENT_PLANNER!G56="",ISNUMBER(SEARCH("Καθ",PATIENT_PLANNER!G56))),"",
" ("&amp;PATIENT_PLANNER!G56&amp;")")&amp;IF(PATIENT_PLANNER!H56&lt;&gt;"",CHAR(10)&amp;PATIENT_PLANNER!H56,""))</f>
        <v>10:00
Κοσμίδης</v>
      </c>
      <c r="E56" s="15" t="str">
        <f>IF(PATIENT_PLANNER!I56="","",IF(ISNUMBER(PATIENT_PLANNER!I56),TEXT(PATIENT_PLANNER!I56,"ω:λλ"),PATIENT_PLANNER!I56)&amp;IF(OR(PATIENT_PLANNER!J56="",ISNUMBER(SEARCH("Καθ",PATIENT_PLANNER!J56))),"",
" ("&amp;PATIENT_PLANNER!J56&amp;")")&amp;IF(PATIENT_PLANNER!K56&lt;&gt;"",CHAR(10)&amp;PATIENT_PLANNER!K56,""))</f>
        <v/>
      </c>
      <c r="F56" s="16" t="str">
        <f>IF(PATIENT_PLANNER!N56="","",PATIENT_PLANNER!N56&amp;IF(OR(PATIENT_PLANNER!O56="",ISNUMBER(SEARCH("Καθ",PATIENT_PLANNER!O56))),""," ("&amp;PATIENT_PLANNER!O56&amp;")"))</f>
        <v/>
      </c>
      <c r="G56" s="16" t="str">
        <f>IF(PATIENT_PLANNER!L56="","",PATIENT_PLANNER!L56&amp;IF(OR(PATIENT_PLANNER!M56="",ISNUMBER(SEARCH("Καθ",PATIENT_PLANNER!M56))),""," ("&amp;PATIENT_PLANNER!M56&amp;")"))</f>
        <v/>
      </c>
      <c r="H56" s="17" t="str">
        <f>IF(PATIENT_PLANNER!P56="","",PATIENT_PLANNER!P56&amp;IF(OR(PATIENT_PLANNER!Q56="",ISNUMBER(SEARCH("Καθ",PATIENT_PLANNER!Q56))),""," ("&amp;PATIENT_PLANNER!Q56&amp;")"))</f>
        <v/>
      </c>
      <c r="I56" s="18" t="str">
        <f>IF(PATIENT_PLANNER!R56="","",PATIENT_PLANNER!R56&amp;IF(OR(PATIENT_PLANNER!S56="",ISNUMBER(SEARCH("Καθ",PATIENT_PLANNER!S56))),""," ("&amp;PATIENT_PLANNER!S56&amp;")"))</f>
        <v/>
      </c>
      <c r="J56" s="19" t="str">
        <f>IF(PATIENT_PLANNER!T56="","",PATIENT_PLANNER!T56&amp;IF(OR(PATIENT_PLANNER!U56="",ISNUMBER(SEARCH("Καθ",PATIENT_PLANNER!U56))),""," ("&amp;PATIENT_PLANNER!U56&amp;")"))</f>
        <v>9:15 (Τρ-Τε-Πα)</v>
      </c>
      <c r="K56" s="14" t="str">
        <f>PATIENT_PLANNER!E56</f>
        <v>παρών</v>
      </c>
    </row>
    <row r="57" spans="1:11" ht="34.049999999999997" customHeight="1" x14ac:dyDescent="0.3">
      <c r="A57" s="14" t="str">
        <f>PATIENT_PLANNER!D57</f>
        <v>Ο</v>
      </c>
      <c r="B57" s="65" t="str">
        <f>PATIENT_PLANNER!B57</f>
        <v>B05</v>
      </c>
      <c r="C57" s="66" t="str">
        <f>PATIENT_PLANNER!C57</f>
        <v>ΤΣΙΚΟΒΑΣ</v>
      </c>
      <c r="D57" s="55" t="str">
        <f>IF(PATIENT_PLANNER!F57="","",IF(ISNUMBER(PATIENT_PLANNER!F57),TEXT(PATIENT_PLANNER!F57,"ω:λλ"),PATIENT_PLANNER!F57)&amp;IF(OR(PATIENT_PLANNER!G57="",ISNUMBER(SEARCH("Καθ",PATIENT_PLANNER!G57))),"",
" ("&amp;PATIENT_PLANNER!G57&amp;")")&amp;IF(PATIENT_PLANNER!H57&lt;&gt;"",CHAR(10)&amp;PATIENT_PLANNER!H57,""))</f>
        <v>8:30
Σάρρας</v>
      </c>
      <c r="E57" s="15" t="str">
        <f>IF(PATIENT_PLANNER!I57="","",IF(ISNUMBER(PATIENT_PLANNER!I57),TEXT(PATIENT_PLANNER!I57,"ω:λλ"),PATIENT_PLANNER!I57)&amp;IF(OR(PATIENT_PLANNER!J57="",ISNUMBER(SEARCH("Καθ",PATIENT_PLANNER!J57))),"",
" ("&amp;PATIENT_PLANNER!J57&amp;")")&amp;IF(PATIENT_PLANNER!K57&lt;&gt;"",CHAR(10)&amp;PATIENT_PLANNER!K57,""))</f>
        <v/>
      </c>
      <c r="F57" s="16" t="str">
        <f>IF(PATIENT_PLANNER!N57="","",PATIENT_PLANNER!N57&amp;IF(OR(PATIENT_PLANNER!O57="",ISNUMBER(SEARCH("Καθ",PATIENT_PLANNER!O57))),""," ("&amp;PATIENT_PLANNER!O57&amp;")"))</f>
        <v/>
      </c>
      <c r="G57" s="16" t="str">
        <f>IF(PATIENT_PLANNER!L57="","",PATIENT_PLANNER!L57&amp;IF(OR(PATIENT_PLANNER!M57="",ISNUMBER(SEARCH("Καθ",PATIENT_PLANNER!M57))),""," ("&amp;PATIENT_PLANNER!M57&amp;")"))</f>
        <v/>
      </c>
      <c r="H57" s="17" t="str">
        <f>IF(PATIENT_PLANNER!P57="","",PATIENT_PLANNER!P57&amp;IF(OR(PATIENT_PLANNER!Q57="",ISNUMBER(SEARCH("Καθ",PATIENT_PLANNER!Q57))),""," ("&amp;PATIENT_PLANNER!Q57&amp;")"))</f>
        <v>9:15</v>
      </c>
      <c r="I57" s="18" t="str">
        <f>IF(PATIENT_PLANNER!R57="","",PATIENT_PLANNER!R57&amp;IF(OR(PATIENT_PLANNER!S57="",ISNUMBER(SEARCH("Καθ",PATIENT_PLANNER!S57))),""," ("&amp;PATIENT_PLANNER!S57&amp;")"))</f>
        <v/>
      </c>
      <c r="J57" s="19" t="str">
        <f>IF(PATIENT_PLANNER!T57="","",PATIENT_PLANNER!T57&amp;IF(OR(PATIENT_PLANNER!U57="",ISNUMBER(SEARCH("Καθ",PATIENT_PLANNER!U57))),""," ("&amp;PATIENT_PLANNER!U57&amp;")"))</f>
        <v/>
      </c>
      <c r="K57" s="14" t="str">
        <f>PATIENT_PLANNER!E57</f>
        <v>παρών</v>
      </c>
    </row>
    <row r="58" spans="1:11" ht="34.049999999999997" customHeight="1" x14ac:dyDescent="0.3">
      <c r="A58" s="14" t="str">
        <f>PATIENT_PLANNER!D58</f>
        <v>Ο</v>
      </c>
      <c r="B58" s="65" t="str">
        <f>PATIENT_PLANNER!B58</f>
        <v>B06</v>
      </c>
      <c r="C58" s="66" t="str">
        <f>PATIENT_PLANNER!C58</f>
        <v>ΗΛΙΑ ΜΑΡΙΑ</v>
      </c>
      <c r="D58" s="55" t="str">
        <f>IF(PATIENT_PLANNER!F58="","",IF(ISNUMBER(PATIENT_PLANNER!F58),TEXT(PATIENT_PLANNER!F58,"ω:λλ"),PATIENT_PLANNER!F58)&amp;IF(OR(PATIENT_PLANNER!G58="",ISNUMBER(SEARCH("Καθ",PATIENT_PLANNER!G58))),"",
" ("&amp;PATIENT_PLANNER!G58&amp;")")&amp;IF(PATIENT_PLANNER!H58&lt;&gt;"",CHAR(10)&amp;PATIENT_PLANNER!H58,""))</f>
        <v>10:00
Ψιάχου</v>
      </c>
      <c r="E58" s="15" t="str">
        <f>IF(PATIENT_PLANNER!I58="","",IF(ISNUMBER(PATIENT_PLANNER!I58),TEXT(PATIENT_PLANNER!I58,"ω:λλ"),PATIENT_PLANNER!I58)&amp;IF(OR(PATIENT_PLANNER!J58="",ISNUMBER(SEARCH("Καθ",PATIENT_PLANNER!J58))),"",
" ("&amp;PATIENT_PLANNER!J58&amp;")")&amp;IF(PATIENT_PLANNER!K58&lt;&gt;"",CHAR(10)&amp;PATIENT_PLANNER!K58,""))</f>
        <v/>
      </c>
      <c r="F58" s="16" t="str">
        <f>IF(PATIENT_PLANNER!N58="","",PATIENT_PLANNER!N58&amp;IF(OR(PATIENT_PLANNER!O58="",ISNUMBER(SEARCH("Καθ",PATIENT_PLANNER!O58))),""," ("&amp;PATIENT_PLANNER!O58&amp;")"))</f>
        <v/>
      </c>
      <c r="G58" s="16" t="str">
        <f>IF(PATIENT_PLANNER!L58="","",PATIENT_PLANNER!L58&amp;IF(OR(PATIENT_PLANNER!M58="",ISNUMBER(SEARCH("Καθ",PATIENT_PLANNER!M58))),""," ("&amp;PATIENT_PLANNER!M58&amp;")"))</f>
        <v/>
      </c>
      <c r="H58" s="17" t="str">
        <f>IF(PATIENT_PLANNER!P58="","",PATIENT_PLANNER!P58&amp;IF(OR(PATIENT_PLANNER!Q58="",ISNUMBER(SEARCH("Καθ",PATIENT_PLANNER!Q58))),""," ("&amp;PATIENT_PLANNER!Q58&amp;")"))</f>
        <v>10:45 (Τρ-Τε-Πε)</v>
      </c>
      <c r="I58" s="18" t="str">
        <f>IF(PATIENT_PLANNER!R58="","",PATIENT_PLANNER!R58&amp;IF(OR(PATIENT_PLANNER!S58="",ISNUMBER(SEARCH("Καθ",PATIENT_PLANNER!S58))),""," ("&amp;PATIENT_PLANNER!S58&amp;")"))</f>
        <v/>
      </c>
      <c r="J58" s="19" t="str">
        <f>IF(PATIENT_PLANNER!T58="","",PATIENT_PLANNER!T58&amp;IF(OR(PATIENT_PLANNER!U58="",ISNUMBER(SEARCH("Καθ",PATIENT_PLANNER!U58))),""," ("&amp;PATIENT_PLANNER!U58&amp;")"))</f>
        <v/>
      </c>
      <c r="K58" s="14" t="str">
        <f>PATIENT_PLANNER!E58</f>
        <v>παρών</v>
      </c>
    </row>
    <row r="59" spans="1:11" ht="34.049999999999997" customHeight="1" x14ac:dyDescent="0.3">
      <c r="A59" s="14" t="str">
        <f>PATIENT_PLANNER!D59</f>
        <v>Ο</v>
      </c>
      <c r="B59" s="65" t="str">
        <f>PATIENT_PLANNER!B59</f>
        <v>B06</v>
      </c>
      <c r="C59" s="66" t="str">
        <f>PATIENT_PLANNER!C59</f>
        <v>ΜΑΡΙΝΟΠΟΥΛΟΥ</v>
      </c>
      <c r="D59" s="55" t="str">
        <f>IF(PATIENT_PLANNER!F59="","",IF(ISNUMBER(PATIENT_PLANNER!F59),TEXT(PATIENT_PLANNER!F59,"ω:λλ"),PATIENT_PLANNER!F59)&amp;IF(OR(PATIENT_PLANNER!G59="",ISNUMBER(SEARCH("Καθ",PATIENT_PLANNER!G59))),"",
" ("&amp;PATIENT_PLANNER!G59&amp;")")&amp;IF(PATIENT_PLANNER!H59&lt;&gt;"",CHAR(10)&amp;PATIENT_PLANNER!H59,""))</f>
        <v>11:30
Σάρρας</v>
      </c>
      <c r="E59" s="15" t="str">
        <f>IF(PATIENT_PLANNER!I59="","",IF(ISNUMBER(PATIENT_PLANNER!I59),TEXT(PATIENT_PLANNER!I59,"ω:λλ"),PATIENT_PLANNER!I59)&amp;IF(OR(PATIENT_PLANNER!J59="",ISNUMBER(SEARCH("Καθ",PATIENT_PLANNER!J59))),"",
" ("&amp;PATIENT_PLANNER!J59&amp;")")&amp;IF(PATIENT_PLANNER!K59&lt;&gt;"",CHAR(10)&amp;PATIENT_PLANNER!K59,""))</f>
        <v>10:45 (Τρ-Πε)
Μηλιδάκης</v>
      </c>
      <c r="F59" s="16" t="str">
        <f>IF(PATIENT_PLANNER!N59="","",PATIENT_PLANNER!N59&amp;IF(OR(PATIENT_PLANNER!O59="",ISNUMBER(SEARCH("Καθ",PATIENT_PLANNER!O59))),""," ("&amp;PATIENT_PLANNER!O59&amp;")"))</f>
        <v/>
      </c>
      <c r="G59" s="16" t="str">
        <f>IF(PATIENT_PLANNER!L59="","",PATIENT_PLANNER!L59&amp;IF(OR(PATIENT_PLANNER!M59="",ISNUMBER(SEARCH("Καθ",PATIENT_PLANNER!M59))),""," ("&amp;PATIENT_PLANNER!M59&amp;")"))</f>
        <v/>
      </c>
      <c r="H59" s="17" t="str">
        <f>IF(PATIENT_PLANNER!P59="","",PATIENT_PLANNER!P59&amp;IF(OR(PATIENT_PLANNER!Q59="",ISNUMBER(SEARCH("Καθ",PATIENT_PLANNER!Q59))),""," ("&amp;PATIENT_PLANNER!Q59&amp;")"))</f>
        <v/>
      </c>
      <c r="I59" s="18" t="str">
        <f>IF(PATIENT_PLANNER!R59="","",PATIENT_PLANNER!R59&amp;IF(OR(PATIENT_PLANNER!S59="",ISNUMBER(SEARCH("Καθ",PATIENT_PLANNER!S59))),""," ("&amp;PATIENT_PLANNER!S59&amp;")"))</f>
        <v/>
      </c>
      <c r="J59" s="19" t="str">
        <f>IF(PATIENT_PLANNER!T59="","",PATIENT_PLANNER!T59&amp;IF(OR(PATIENT_PLANNER!U59="",ISNUMBER(SEARCH("Καθ",PATIENT_PLANNER!U59))),""," ("&amp;PATIENT_PLANNER!U59&amp;")"))</f>
        <v/>
      </c>
      <c r="K59" s="14" t="str">
        <f>PATIENT_PLANNER!E59</f>
        <v>παρών</v>
      </c>
    </row>
    <row r="60" spans="1:11" ht="34.049999999999997" customHeight="1" x14ac:dyDescent="0.3">
      <c r="A60" s="14" t="str">
        <f>PATIENT_PLANNER!D60</f>
        <v>Ο</v>
      </c>
      <c r="B60" s="65" t="str">
        <f>PATIENT_PLANNER!B60</f>
        <v>B06</v>
      </c>
      <c r="C60" s="66" t="str">
        <f>PATIENT_PLANNER!C60</f>
        <v>ΜΑΧΑΙΡΑ</v>
      </c>
      <c r="D60" s="55" t="str">
        <f>IF(PATIENT_PLANNER!F60="","",IF(ISNUMBER(PATIENT_PLANNER!F60),TEXT(PATIENT_PLANNER!F60,"ω:λλ"),PATIENT_PLANNER!F60)&amp;IF(OR(PATIENT_PLANNER!G60="",ISNUMBER(SEARCH("Καθ",PATIENT_PLANNER!G60))),"",
" ("&amp;PATIENT_PLANNER!G60&amp;")")&amp;IF(PATIENT_PLANNER!H60&lt;&gt;"",CHAR(10)&amp;PATIENT_PLANNER!H60,""))</f>
        <v>11:30
Σκαρώνης</v>
      </c>
      <c r="E60" s="15" t="str">
        <f>IF(PATIENT_PLANNER!I60="","",IF(ISNUMBER(PATIENT_PLANNER!I60),TEXT(PATIENT_PLANNER!I60,"ω:λλ"),PATIENT_PLANNER!I60)&amp;IF(OR(PATIENT_PLANNER!J60="",ISNUMBER(SEARCH("Καθ",PATIENT_PLANNER!J60))),"",
" ("&amp;PATIENT_PLANNER!J60&amp;")")&amp;IF(PATIENT_PLANNER!K60&lt;&gt;"",CHAR(10)&amp;PATIENT_PLANNER!K60,""))</f>
        <v/>
      </c>
      <c r="F60" s="16" t="str">
        <f>IF(PATIENT_PLANNER!N60="","",PATIENT_PLANNER!N60&amp;IF(OR(PATIENT_PLANNER!O60="",ISNUMBER(SEARCH("Καθ",PATIENT_PLANNER!O60))),""," ("&amp;PATIENT_PLANNER!O60&amp;")"))</f>
        <v/>
      </c>
      <c r="G60" s="16" t="str">
        <f>IF(PATIENT_PLANNER!L60="","",PATIENT_PLANNER!L60&amp;IF(OR(PATIENT_PLANNER!M60="",ISNUMBER(SEARCH("Καθ",PATIENT_PLANNER!M60))),""," ("&amp;PATIENT_PLANNER!M60&amp;")"))</f>
        <v/>
      </c>
      <c r="H60" s="17" t="str">
        <f>IF(PATIENT_PLANNER!P60="","",PATIENT_PLANNER!P60&amp;IF(OR(PATIENT_PLANNER!Q60="",ISNUMBER(SEARCH("Καθ",PATIENT_PLANNER!Q60))),""," ("&amp;PATIENT_PLANNER!Q60&amp;")"))</f>
        <v>10:00</v>
      </c>
      <c r="I60" s="18" t="str">
        <f>IF(PATIENT_PLANNER!R60="","",PATIENT_PLANNER!R60&amp;IF(OR(PATIENT_PLANNER!S60="",ISNUMBER(SEARCH("Καθ",PATIENT_PLANNER!S60))),""," ("&amp;PATIENT_PLANNER!S60&amp;")"))</f>
        <v/>
      </c>
      <c r="J60" s="19" t="str">
        <f>IF(PATIENT_PLANNER!T60="","",PATIENT_PLANNER!T60&amp;IF(OR(PATIENT_PLANNER!U60="",ISNUMBER(SEARCH("Καθ",PATIENT_PLANNER!U60))),""," ("&amp;PATIENT_PLANNER!U60&amp;")"))</f>
        <v/>
      </c>
      <c r="K60" s="14" t="str">
        <f>PATIENT_PLANNER!E60</f>
        <v>παρών</v>
      </c>
    </row>
    <row r="61" spans="1:11" ht="34.049999999999997" customHeight="1" x14ac:dyDescent="0.3">
      <c r="A61" s="14" t="str">
        <f>PATIENT_PLANNER!D61</f>
        <v>Ο</v>
      </c>
      <c r="B61" s="65" t="str">
        <f>PATIENT_PLANNER!B61</f>
        <v>B06</v>
      </c>
      <c r="C61" s="66" t="str">
        <f>PATIENT_PLANNER!C61</f>
        <v>ΠΑΠΠΟΥ</v>
      </c>
      <c r="D61" s="55" t="str">
        <f>IF(PATIENT_PLANNER!F61="","",IF(ISNUMBER(PATIENT_PLANNER!F61),TEXT(PATIENT_PLANNER!F61,"ω:λλ"),PATIENT_PLANNER!F61)&amp;IF(OR(PATIENT_PLANNER!G61="",ISNUMBER(SEARCH("Καθ",PATIENT_PLANNER!G61))),"",
" ("&amp;PATIENT_PLANNER!G61&amp;")")&amp;IF(PATIENT_PLANNER!H61&lt;&gt;"",CHAR(10)&amp;PATIENT_PLANNER!H61,""))</f>
        <v>9:15
Σάρρας</v>
      </c>
      <c r="E61" s="15" t="str">
        <f>IF(PATIENT_PLANNER!I61="","",IF(ISNUMBER(PATIENT_PLANNER!I61),TEXT(PATIENT_PLANNER!I61,"ω:λλ"),PATIENT_PLANNER!I61)&amp;IF(OR(PATIENT_PLANNER!J61="",ISNUMBER(SEARCH("Καθ",PATIENT_PLANNER!J61))),"",
" ("&amp;PATIENT_PLANNER!J61&amp;")")&amp;IF(PATIENT_PLANNER!K61&lt;&gt;"",CHAR(10)&amp;PATIENT_PLANNER!K61,""))</f>
        <v/>
      </c>
      <c r="F61" s="16" t="str">
        <f>IF(PATIENT_PLANNER!N61="","",PATIENT_PLANNER!N61&amp;IF(OR(PATIENT_PLANNER!O61="",ISNUMBER(SEARCH("Καθ",PATIENT_PLANNER!O61))),""," ("&amp;PATIENT_PLANNER!O61&amp;")"))</f>
        <v/>
      </c>
      <c r="G61" s="16" t="str">
        <f>IF(PATIENT_PLANNER!L61="","",PATIENT_PLANNER!L61&amp;IF(OR(PATIENT_PLANNER!M61="",ISNUMBER(SEARCH("Καθ",PATIENT_PLANNER!M61))),""," ("&amp;PATIENT_PLANNER!M61&amp;")"))</f>
        <v/>
      </c>
      <c r="H61" s="17" t="str">
        <f>IF(PATIENT_PLANNER!P61="","",PATIENT_PLANNER!P61&amp;IF(OR(PATIENT_PLANNER!Q61="",ISNUMBER(SEARCH("Καθ",PATIENT_PLANNER!Q61))),""," ("&amp;PATIENT_PLANNER!Q61&amp;")"))</f>
        <v>10:00</v>
      </c>
      <c r="I61" s="18" t="str">
        <f>IF(PATIENT_PLANNER!R61="","",PATIENT_PLANNER!R61&amp;IF(OR(PATIENT_PLANNER!S61="",ISNUMBER(SEARCH("Καθ",PATIENT_PLANNER!S61))),""," ("&amp;PATIENT_PLANNER!S61&amp;")"))</f>
        <v/>
      </c>
      <c r="J61" s="19" t="str">
        <f>IF(PATIENT_PLANNER!T61="","",PATIENT_PLANNER!T61&amp;IF(OR(PATIENT_PLANNER!U61="",ISNUMBER(SEARCH("Καθ",PATIENT_PLANNER!U61))),""," ("&amp;PATIENT_PLANNER!U61&amp;")"))</f>
        <v/>
      </c>
      <c r="K61" s="14" t="str">
        <f>PATIENT_PLANNER!E61</f>
        <v>παρών</v>
      </c>
    </row>
    <row r="62" spans="1:11" ht="34.049999999999997" customHeight="1" x14ac:dyDescent="0.3">
      <c r="A62" s="14" t="str">
        <f>PATIENT_PLANNER!D62</f>
        <v>Ο</v>
      </c>
      <c r="B62" s="65" t="str">
        <f>PATIENT_PLANNER!B62</f>
        <v>B07</v>
      </c>
      <c r="C62" s="66" t="str">
        <f>PATIENT_PLANNER!C62</f>
        <v>ΑΛΕΞΑΚΗΣ</v>
      </c>
      <c r="D62" s="55" t="str">
        <f>IF(PATIENT_PLANNER!F62="","",IF(ISNUMBER(PATIENT_PLANNER!F62),TEXT(PATIENT_PLANNER!F62,"ω:λλ"),PATIENT_PLANNER!F62)&amp;IF(OR(PATIENT_PLANNER!G62="",ISNUMBER(SEARCH("Καθ",PATIENT_PLANNER!G62))),"",
" ("&amp;PATIENT_PLANNER!G62&amp;")")&amp;IF(PATIENT_PLANNER!H62&lt;&gt;"",CHAR(10)&amp;PATIENT_PLANNER!H62,""))</f>
        <v>10:00
Παπαμάνου</v>
      </c>
      <c r="E62" s="15" t="str">
        <f>IF(PATIENT_PLANNER!I62="","",IF(ISNUMBER(PATIENT_PLANNER!I62),TEXT(PATIENT_PLANNER!I62,"ω:λλ"),PATIENT_PLANNER!I62)&amp;IF(OR(PATIENT_PLANNER!J62="",ISNUMBER(SEARCH("Καθ",PATIENT_PLANNER!J62))),"",
" ("&amp;PATIENT_PLANNER!J62&amp;")")&amp;IF(PATIENT_PLANNER!K62&lt;&gt;"",CHAR(10)&amp;PATIENT_PLANNER!K62,""))</f>
        <v>12:15 (Δε-Τε-Πα)
Μηλιδάκης</v>
      </c>
      <c r="F62" s="16" t="str">
        <f>IF(PATIENT_PLANNER!N62="","",PATIENT_PLANNER!N62&amp;IF(OR(PATIENT_PLANNER!O62="",ISNUMBER(SEARCH("Καθ",PATIENT_PLANNER!O62))),""," ("&amp;PATIENT_PLANNER!O62&amp;")"))</f>
        <v/>
      </c>
      <c r="G62" s="16" t="str">
        <f>IF(PATIENT_PLANNER!L62="","",PATIENT_PLANNER!L62&amp;IF(OR(PATIENT_PLANNER!M62="",ISNUMBER(SEARCH("Καθ",PATIENT_PLANNER!M62))),""," ("&amp;PATIENT_PLANNER!M62&amp;")"))</f>
        <v/>
      </c>
      <c r="H62" s="17" t="str">
        <f>IF(PATIENT_PLANNER!P62="","",PATIENT_PLANNER!P62&amp;IF(OR(PATIENT_PLANNER!Q62="",ISNUMBER(SEARCH("Καθ",PATIENT_PLANNER!Q62))),""," ("&amp;PATIENT_PLANNER!Q62&amp;")"))</f>
        <v>10:45 (Δε-Τε-Πα)</v>
      </c>
      <c r="I62" s="18" t="str">
        <f>IF(PATIENT_PLANNER!R62="","",PATIENT_PLANNER!R62&amp;IF(OR(PATIENT_PLANNER!S62="",ISNUMBER(SEARCH("Καθ",PATIENT_PLANNER!S62))),""," ("&amp;PATIENT_PLANNER!S62&amp;")"))</f>
        <v/>
      </c>
      <c r="J62" s="19" t="str">
        <f>IF(PATIENT_PLANNER!T62="","",PATIENT_PLANNER!T62&amp;IF(OR(PATIENT_PLANNER!U62="",ISNUMBER(SEARCH("Καθ",PATIENT_PLANNER!U62))),""," ("&amp;PATIENT_PLANNER!U62&amp;")"))</f>
        <v/>
      </c>
      <c r="K62" s="14" t="str">
        <f>PATIENT_PLANNER!E62</f>
        <v>παρών</v>
      </c>
    </row>
    <row r="63" spans="1:11" ht="34.049999999999997" customHeight="1" x14ac:dyDescent="0.3">
      <c r="A63" s="14" t="str">
        <f>PATIENT_PLANNER!D63</f>
        <v>Ο</v>
      </c>
      <c r="B63" s="65" t="str">
        <f>PATIENT_PLANNER!B63</f>
        <v>B07</v>
      </c>
      <c r="C63" s="66" t="str">
        <f>PATIENT_PLANNER!C63</f>
        <v>ΒΟΓΙΑΤΖΗΣ</v>
      </c>
      <c r="D63" s="55" t="str">
        <f>IF(PATIENT_PLANNER!F63="","",IF(ISNUMBER(PATIENT_PLANNER!F63),TEXT(PATIENT_PLANNER!F63,"ω:λλ"),PATIENT_PLANNER!F63)&amp;IF(OR(PATIENT_PLANNER!G63="",ISNUMBER(SEARCH("Καθ",PATIENT_PLANNER!G63))),"",
" ("&amp;PATIENT_PLANNER!G63&amp;")")&amp;IF(PATIENT_PLANNER!H63&lt;&gt;"",CHAR(10)&amp;PATIENT_PLANNER!H63,""))</f>
        <v>9:15
Βασιλειάδης</v>
      </c>
      <c r="E63" s="15" t="str">
        <f>IF(PATIENT_PLANNER!I63="","",IF(ISNUMBER(PATIENT_PLANNER!I63),TEXT(PATIENT_PLANNER!I63,"ω:λλ"),PATIENT_PLANNER!I63)&amp;IF(OR(PATIENT_PLANNER!J63="",ISNUMBER(SEARCH("Καθ",PATIENT_PLANNER!J63))),"",
" ("&amp;PATIENT_PLANNER!J63&amp;")")&amp;IF(PATIENT_PLANNER!K63&lt;&gt;"",CHAR(10)&amp;PATIENT_PLANNER!K63,""))</f>
        <v/>
      </c>
      <c r="F63" s="16" t="str">
        <f>IF(PATIENT_PLANNER!N63="","",PATIENT_PLANNER!N63&amp;IF(OR(PATIENT_PLANNER!O63="",ISNUMBER(SEARCH("Καθ",PATIENT_PLANNER!O63))),""," ("&amp;PATIENT_PLANNER!O63&amp;")"))</f>
        <v/>
      </c>
      <c r="G63" s="16" t="str">
        <f>IF(PATIENT_PLANNER!L63="","",PATIENT_PLANNER!L63&amp;IF(OR(PATIENT_PLANNER!M63="",ISNUMBER(SEARCH("Καθ",PATIENT_PLANNER!M63))),""," ("&amp;PATIENT_PLANNER!M63&amp;")"))</f>
        <v/>
      </c>
      <c r="H63" s="17" t="str">
        <f>IF(PATIENT_PLANNER!P63="","",PATIENT_PLANNER!P63&amp;IF(OR(PATIENT_PLANNER!Q63="",ISNUMBER(SEARCH("Καθ",PATIENT_PLANNER!Q63))),""," ("&amp;PATIENT_PLANNER!Q63&amp;")"))</f>
        <v>12:15</v>
      </c>
      <c r="I63" s="18" t="str">
        <f>IF(PATIENT_PLANNER!R63="","",PATIENT_PLANNER!R63&amp;IF(OR(PATIENT_PLANNER!S63="",ISNUMBER(SEARCH("Καθ",PATIENT_PLANNER!S63))),""," ("&amp;PATIENT_PLANNER!S63&amp;")"))</f>
        <v/>
      </c>
      <c r="J63" s="19" t="str">
        <f>IF(PATIENT_PLANNER!T63="","",PATIENT_PLANNER!T63&amp;IF(OR(PATIENT_PLANNER!U63="",ISNUMBER(SEARCH("Καθ",PATIENT_PLANNER!U63))),""," ("&amp;PATIENT_PLANNER!U63&amp;")"))</f>
        <v/>
      </c>
      <c r="K63" s="14" t="str">
        <f>PATIENT_PLANNER!E63</f>
        <v>παρών</v>
      </c>
    </row>
    <row r="64" spans="1:11" ht="34.049999999999997" customHeight="1" x14ac:dyDescent="0.3">
      <c r="A64" s="14" t="str">
        <f>PATIENT_PLANNER!D64</f>
        <v>Ο</v>
      </c>
      <c r="B64" s="65" t="str">
        <f>PATIENT_PLANNER!B64</f>
        <v>B07</v>
      </c>
      <c r="C64" s="66" t="str">
        <f>PATIENT_PLANNER!C64</f>
        <v>ΓΙΑΝΝΟΠΟΥΛΟΣ</v>
      </c>
      <c r="D64" s="55" t="str">
        <f>IF(PATIENT_PLANNER!F64="","",IF(ISNUMBER(PATIENT_PLANNER!F64),TEXT(PATIENT_PLANNER!F64,"ω:λλ"),PATIENT_PLANNER!F64)&amp;IF(OR(PATIENT_PLANNER!G64="",ISNUMBER(SEARCH("Καθ",PATIENT_PLANNER!G64))),"",
" ("&amp;PATIENT_PLANNER!G64&amp;")")&amp;IF(PATIENT_PLANNER!H64&lt;&gt;"",CHAR(10)&amp;PATIENT_PLANNER!H64,""))</f>
        <v>10:45 (Δε-Τε-Πα)
Κοσμίδης</v>
      </c>
      <c r="E64" s="15" t="str">
        <f>IF(PATIENT_PLANNER!I64="","",IF(ISNUMBER(PATIENT_PLANNER!I64),TEXT(PATIENT_PLANNER!I64,"ω:λλ"),PATIENT_PLANNER!I64)&amp;IF(OR(PATIENT_PLANNER!J64="",ISNUMBER(SEARCH("Καθ",PATIENT_PLANNER!J64))),"",
" ("&amp;PATIENT_PLANNER!J64&amp;")")&amp;IF(PATIENT_PLANNER!K64&lt;&gt;"",CHAR(10)&amp;PATIENT_PLANNER!K64,""))</f>
        <v/>
      </c>
      <c r="F64" s="16" t="str">
        <f>IF(PATIENT_PLANNER!N64="","",PATIENT_PLANNER!N64&amp;IF(OR(PATIENT_PLANNER!O64="",ISNUMBER(SEARCH("Καθ",PATIENT_PLANNER!O64))),""," ("&amp;PATIENT_PLANNER!O64&amp;")"))</f>
        <v/>
      </c>
      <c r="G64" s="16" t="str">
        <f>IF(PATIENT_PLANNER!L64="","",PATIENT_PLANNER!L64&amp;IF(OR(PATIENT_PLANNER!M64="",ISNUMBER(SEARCH("Καθ",PATIENT_PLANNER!M64))),""," ("&amp;PATIENT_PLANNER!M64&amp;")"))</f>
        <v/>
      </c>
      <c r="H64" s="17" t="str">
        <f>IF(PATIENT_PLANNER!P64="","",PATIENT_PLANNER!P64&amp;IF(OR(PATIENT_PLANNER!Q64="",ISNUMBER(SEARCH("Καθ",PATIENT_PLANNER!Q64))),""," ("&amp;PATIENT_PLANNER!Q64&amp;")"))</f>
        <v/>
      </c>
      <c r="I64" s="18" t="str">
        <f>IF(PATIENT_PLANNER!R64="","",PATIENT_PLANNER!R64&amp;IF(OR(PATIENT_PLANNER!S64="",ISNUMBER(SEARCH("Καθ",PATIENT_PLANNER!S64))),""," ("&amp;PATIENT_PLANNER!S64&amp;")"))</f>
        <v/>
      </c>
      <c r="J64" s="19" t="str">
        <f>IF(PATIENT_PLANNER!T64="","",PATIENT_PLANNER!T64&amp;IF(OR(PATIENT_PLANNER!U64="",ISNUMBER(SEARCH("Καθ",PATIENT_PLANNER!U64))),""," ("&amp;PATIENT_PLANNER!U64&amp;")"))</f>
        <v/>
      </c>
      <c r="K64" s="14" t="str">
        <f>PATIENT_PLANNER!E64</f>
        <v>παρών</v>
      </c>
    </row>
    <row r="65" spans="1:11" ht="34.049999999999997" customHeight="1" x14ac:dyDescent="0.3">
      <c r="A65" s="14" t="str">
        <f>PATIENT_PLANNER!D65</f>
        <v>Ο</v>
      </c>
      <c r="B65" s="65" t="str">
        <f>PATIENT_PLANNER!B65</f>
        <v>B07</v>
      </c>
      <c r="C65" s="66" t="str">
        <f>PATIENT_PLANNER!C65</f>
        <v>ΔΕΣΤΟΥΝΗΣ</v>
      </c>
      <c r="D65" s="55" t="str">
        <f>IF(PATIENT_PLANNER!F65="","",IF(ISNUMBER(PATIENT_PLANNER!F65),TEXT(PATIENT_PLANNER!F65,"ω:λλ"),PATIENT_PLANNER!F65)&amp;IF(OR(PATIENT_PLANNER!G65="",ISNUMBER(SEARCH("Καθ",PATIENT_PLANNER!G65))),"",
" ("&amp;PATIENT_PLANNER!G65&amp;")")&amp;IF(PATIENT_PLANNER!H65&lt;&gt;"",CHAR(10)&amp;PATIENT_PLANNER!H65,""))</f>
        <v/>
      </c>
      <c r="E65" s="15" t="str">
        <f>IF(PATIENT_PLANNER!I65="","",IF(ISNUMBER(PATIENT_PLANNER!I65),TEXT(PATIENT_PLANNER!I65,"ω:λλ"),PATIENT_PLANNER!I65)&amp;IF(OR(PATIENT_PLANNER!J65="",ISNUMBER(SEARCH("Καθ",PATIENT_PLANNER!J65))),"",
" ("&amp;PATIENT_PLANNER!J65&amp;")")&amp;IF(PATIENT_PLANNER!K65&lt;&gt;"",CHAR(10)&amp;PATIENT_PLANNER!K65,""))</f>
        <v/>
      </c>
      <c r="F65" s="16" t="str">
        <f>IF(PATIENT_PLANNER!N65="","",PATIENT_PLANNER!N65&amp;IF(OR(PATIENT_PLANNER!O65="",ISNUMBER(SEARCH("Καθ",PATIENT_PLANNER!O65))),""," ("&amp;PATIENT_PLANNER!O65&amp;")"))</f>
        <v/>
      </c>
      <c r="G65" s="16" t="str">
        <f>IF(PATIENT_PLANNER!L65="","",PATIENT_PLANNER!L65&amp;IF(OR(PATIENT_PLANNER!M65="",ISNUMBER(SEARCH("Καθ",PATIENT_PLANNER!M65))),""," ("&amp;PATIENT_PLANNER!M65&amp;")"))</f>
        <v/>
      </c>
      <c r="H65" s="17" t="str">
        <f>IF(PATIENT_PLANNER!P65="","",PATIENT_PLANNER!P65&amp;IF(OR(PATIENT_PLANNER!Q65="",ISNUMBER(SEARCH("Καθ",PATIENT_PLANNER!Q65))),""," ("&amp;PATIENT_PLANNER!Q65&amp;")"))</f>
        <v/>
      </c>
      <c r="I65" s="18" t="str">
        <f>IF(PATIENT_PLANNER!R65="","",PATIENT_PLANNER!R65&amp;IF(OR(PATIENT_PLANNER!S65="",ISNUMBER(SEARCH("Καθ",PATIENT_PLANNER!S65))),""," ("&amp;PATIENT_PLANNER!S65&amp;")"))</f>
        <v/>
      </c>
      <c r="J65" s="19" t="str">
        <f>IF(PATIENT_PLANNER!T65="","",PATIENT_PLANNER!T65&amp;IF(OR(PATIENT_PLANNER!U65="",ISNUMBER(SEARCH("Καθ",PATIENT_PLANNER!U65))),""," ("&amp;PATIENT_PLANNER!U65&amp;")"))</f>
        <v/>
      </c>
      <c r="K65" s="14" t="str">
        <f>PATIENT_PLANNER!E65</f>
        <v>αναβολή ΦΘ</v>
      </c>
    </row>
    <row r="66" spans="1:11" ht="34.049999999999997" customHeight="1" x14ac:dyDescent="0.3">
      <c r="A66" s="14" t="str">
        <f>PATIENT_PLANNER!D66</f>
        <v>Ο</v>
      </c>
      <c r="B66" s="65" t="str">
        <f>PATIENT_PLANNER!B66</f>
        <v>B07</v>
      </c>
      <c r="C66" s="66" t="str">
        <f>PATIENT_PLANNER!C66</f>
        <v>ΣΩΚΟΣ</v>
      </c>
      <c r="D66" s="55" t="str">
        <f>IF(PATIENT_PLANNER!F66="","",IF(ISNUMBER(PATIENT_PLANNER!F66),TEXT(PATIENT_PLANNER!F66,"ω:λλ"),PATIENT_PLANNER!F66)&amp;IF(OR(PATIENT_PLANNER!G66="",ISNUMBER(SEARCH("Καθ",PATIENT_PLANNER!G66))),"",
" ("&amp;PATIENT_PLANNER!G66&amp;")")&amp;IF(PATIENT_PLANNER!H66&lt;&gt;"",CHAR(10)&amp;PATIENT_PLANNER!H66,""))</f>
        <v>10:45
Χρήστου</v>
      </c>
      <c r="E66" s="15" t="str">
        <f>IF(PATIENT_PLANNER!I66="","",IF(ISNUMBER(PATIENT_PLANNER!I66),TEXT(PATIENT_PLANNER!I66,"ω:λλ"),PATIENT_PLANNER!I66)&amp;IF(OR(PATIENT_PLANNER!J66="",ISNUMBER(SEARCH("Καθ",PATIENT_PLANNER!J66))),"",
" ("&amp;PATIENT_PLANNER!J66&amp;")")&amp;IF(PATIENT_PLANNER!K66&lt;&gt;"",CHAR(10)&amp;PATIENT_PLANNER!K66,""))</f>
        <v/>
      </c>
      <c r="F66" s="16" t="str">
        <f>IF(PATIENT_PLANNER!N66="","",PATIENT_PLANNER!N66&amp;IF(OR(PATIENT_PLANNER!O66="",ISNUMBER(SEARCH("Καθ",PATIENT_PLANNER!O66))),""," ("&amp;PATIENT_PLANNER!O66&amp;")"))</f>
        <v>11:30 (Δε-Τε-Πε)</v>
      </c>
      <c r="G66" s="16" t="str">
        <f>IF(PATIENT_PLANNER!L66="","",PATIENT_PLANNER!L66&amp;IF(OR(PATIENT_PLANNER!M66="",ISNUMBER(SEARCH("Καθ",PATIENT_PLANNER!M66))),""," ("&amp;PATIENT_PLANNER!M66&amp;")"))</f>
        <v/>
      </c>
      <c r="H66" s="17" t="str">
        <f>IF(PATIENT_PLANNER!P66="","",PATIENT_PLANNER!P66&amp;IF(OR(PATIENT_PLANNER!Q66="",ISNUMBER(SEARCH("Καθ",PATIENT_PLANNER!Q66))),""," ("&amp;PATIENT_PLANNER!Q66&amp;")"))</f>
        <v>10:00</v>
      </c>
      <c r="I66" s="18" t="str">
        <f>IF(PATIENT_PLANNER!R66="","",PATIENT_PLANNER!R66&amp;IF(OR(PATIENT_PLANNER!S66="",ISNUMBER(SEARCH("Καθ",PATIENT_PLANNER!S66))),""," ("&amp;PATIENT_PLANNER!S66&amp;")"))</f>
        <v/>
      </c>
      <c r="J66" s="19" t="str">
        <f>IF(PATIENT_PLANNER!T66="","",PATIENT_PLANNER!T66&amp;IF(OR(PATIENT_PLANNER!U66="",ISNUMBER(SEARCH("Καθ",PATIENT_PLANNER!U66))),""," ("&amp;PATIENT_PLANNER!U66&amp;")"))</f>
        <v/>
      </c>
      <c r="K66" s="14" t="str">
        <f>PATIENT_PLANNER!E66</f>
        <v>παρών</v>
      </c>
    </row>
    <row r="67" spans="1:11" ht="34.049999999999997" customHeight="1" x14ac:dyDescent="0.3">
      <c r="A67" s="14" t="str">
        <f>PATIENT_PLANNER!D67</f>
        <v>Ο</v>
      </c>
      <c r="B67" s="65" t="str">
        <f>PATIENT_PLANNER!B67</f>
        <v>B08</v>
      </c>
      <c r="C67" s="66" t="str">
        <f>PATIENT_PLANNER!C67</f>
        <v>CANGOLLARI</v>
      </c>
      <c r="D67" s="55" t="str">
        <f>IF(PATIENT_PLANNER!F67="","",IF(ISNUMBER(PATIENT_PLANNER!F67),TEXT(PATIENT_PLANNER!F67,"ω:λλ"),PATIENT_PLANNER!F67)&amp;IF(OR(PATIENT_PLANNER!G67="",ISNUMBER(SEARCH("Καθ",PATIENT_PLANNER!G67))),"",
" ("&amp;PATIENT_PLANNER!G67&amp;")")&amp;IF(PATIENT_PLANNER!H67&lt;&gt;"",CHAR(10)&amp;PATIENT_PLANNER!H67,""))</f>
        <v>11:30 (Δε-Τε-Πα)
Κοσμίδης</v>
      </c>
      <c r="E67" s="15" t="str">
        <f>IF(PATIENT_PLANNER!I67="","",IF(ISNUMBER(PATIENT_PLANNER!I67),TEXT(PATIENT_PLANNER!I67,"ω:λλ"),PATIENT_PLANNER!I67)&amp;IF(OR(PATIENT_PLANNER!J67="",ISNUMBER(SEARCH("Καθ",PATIENT_PLANNER!J67))),"",
" ("&amp;PATIENT_PLANNER!J67&amp;")")&amp;IF(PATIENT_PLANNER!K67&lt;&gt;"",CHAR(10)&amp;PATIENT_PLANNER!K67,""))</f>
        <v/>
      </c>
      <c r="F67" s="16" t="str">
        <f>IF(PATIENT_PLANNER!N67="","",PATIENT_PLANNER!N67&amp;IF(OR(PATIENT_PLANNER!O67="",ISNUMBER(SEARCH("Καθ",PATIENT_PLANNER!O67))),""," ("&amp;PATIENT_PLANNER!O67&amp;")"))</f>
        <v/>
      </c>
      <c r="G67" s="16" t="str">
        <f>IF(PATIENT_PLANNER!L67="","",PATIENT_PLANNER!L67&amp;IF(OR(PATIENT_PLANNER!M67="",ISNUMBER(SEARCH("Καθ",PATIENT_PLANNER!M67))),""," ("&amp;PATIENT_PLANNER!M67&amp;")"))</f>
        <v>12:00 (Δε-Τε-Πε)</v>
      </c>
      <c r="H67" s="17" t="str">
        <f>IF(PATIENT_PLANNER!P67="","",PATIENT_PLANNER!P67&amp;IF(OR(PATIENT_PLANNER!Q67="",ISNUMBER(SEARCH("Καθ",PATIENT_PLANNER!Q67))),""," ("&amp;PATIENT_PLANNER!Q67&amp;")"))</f>
        <v/>
      </c>
      <c r="I67" s="18" t="str">
        <f>IF(PATIENT_PLANNER!R67="","",PATIENT_PLANNER!R67&amp;IF(OR(PATIENT_PLANNER!S67="",ISNUMBER(SEARCH("Καθ",PATIENT_PLANNER!S67))),""," ("&amp;PATIENT_PLANNER!S67&amp;")"))</f>
        <v/>
      </c>
      <c r="J67" s="19" t="str">
        <f>IF(PATIENT_PLANNER!T67="","",PATIENT_PLANNER!T67&amp;IF(OR(PATIENT_PLANNER!U67="",ISNUMBER(SEARCH("Καθ",PATIENT_PLANNER!U67))),""," ("&amp;PATIENT_PLANNER!U67&amp;")"))</f>
        <v/>
      </c>
      <c r="K67" s="14" t="str">
        <f>PATIENT_PLANNER!E67</f>
        <v>παρών</v>
      </c>
    </row>
    <row r="68" spans="1:11" ht="34.049999999999997" customHeight="1" x14ac:dyDescent="0.3">
      <c r="A68" s="14" t="str">
        <f>PATIENT_PLANNER!D68</f>
        <v>Ο</v>
      </c>
      <c r="B68" s="65" t="str">
        <f>PATIENT_PLANNER!B68</f>
        <v>B08</v>
      </c>
      <c r="C68" s="66" t="str">
        <f>PATIENT_PLANNER!C68</f>
        <v>ΖΕΡΒΑ</v>
      </c>
      <c r="D68" s="55" t="str">
        <f>IF(PATIENT_PLANNER!F68="","",IF(ISNUMBER(PATIENT_PLANNER!F68),TEXT(PATIENT_PLANNER!F68,"ω:λλ"),PATIENT_PLANNER!F68)&amp;IF(OR(PATIENT_PLANNER!G68="",ISNUMBER(SEARCH("Καθ",PATIENT_PLANNER!G68))),"",
" ("&amp;PATIENT_PLANNER!G68&amp;")")&amp;IF(PATIENT_PLANNER!H68&lt;&gt;"",CHAR(10)&amp;PATIENT_PLANNER!H68,""))</f>
        <v>10:45
Βασιλειάδης</v>
      </c>
      <c r="E68" s="15" t="str">
        <f>IF(PATIENT_PLANNER!I68="","",IF(ISNUMBER(PATIENT_PLANNER!I68),TEXT(PATIENT_PLANNER!I68,"ω:λλ"),PATIENT_PLANNER!I68)&amp;IF(OR(PATIENT_PLANNER!J68="",ISNUMBER(SEARCH("Καθ",PATIENT_PLANNER!J68))),"",
" ("&amp;PATIENT_PLANNER!J68&amp;")")&amp;IF(PATIENT_PLANNER!K68&lt;&gt;"",CHAR(10)&amp;PATIENT_PLANNER!K68,""))</f>
        <v>11:30 (Τρ-Πε)
Παπακίτσου</v>
      </c>
      <c r="F68" s="16" t="str">
        <f>IF(PATIENT_PLANNER!N68="","",PATIENT_PLANNER!N68&amp;IF(OR(PATIENT_PLANNER!O68="",ISNUMBER(SEARCH("Καθ",PATIENT_PLANNER!O68))),""," ("&amp;PATIENT_PLANNER!O68&amp;")"))</f>
        <v/>
      </c>
      <c r="G68" s="16" t="str">
        <f>IF(PATIENT_PLANNER!L68="","",PATIENT_PLANNER!L68&amp;IF(OR(PATIENT_PLANNER!M68="",ISNUMBER(SEARCH("Καθ",PATIENT_PLANNER!M68))),""," ("&amp;PATIENT_PLANNER!M68&amp;")"))</f>
        <v/>
      </c>
      <c r="H68" s="17" t="str">
        <f>IF(PATIENT_PLANNER!P68="","",PATIENT_PLANNER!P68&amp;IF(OR(PATIENT_PLANNER!Q68="",ISNUMBER(SEARCH("Καθ",PATIENT_PLANNER!Q68))),""," ("&amp;PATIENT_PLANNER!Q68&amp;")"))</f>
        <v>10:00 (Δε-Τε-Πα)</v>
      </c>
      <c r="I68" s="18" t="str">
        <f>IF(PATIENT_PLANNER!R68="","",PATIENT_PLANNER!R68&amp;IF(OR(PATIENT_PLANNER!S68="",ISNUMBER(SEARCH("Καθ",PATIENT_PLANNER!S68))),""," ("&amp;PATIENT_PLANNER!S68&amp;")"))</f>
        <v/>
      </c>
      <c r="J68" s="19" t="str">
        <f>IF(PATIENT_PLANNER!T68="","",PATIENT_PLANNER!T68&amp;IF(OR(PATIENT_PLANNER!U68="",ISNUMBER(SEARCH("Καθ",PATIENT_PLANNER!U68))),""," ("&amp;PATIENT_PLANNER!U68&amp;")"))</f>
        <v/>
      </c>
      <c r="K68" s="14" t="str">
        <f>PATIENT_PLANNER!E68</f>
        <v>παρών</v>
      </c>
    </row>
    <row r="69" spans="1:11" ht="34.049999999999997" customHeight="1" x14ac:dyDescent="0.3">
      <c r="A69" s="14" t="str">
        <f>PATIENT_PLANNER!D69</f>
        <v/>
      </c>
      <c r="B69" s="65" t="str">
        <f>PATIENT_PLANNER!B69</f>
        <v/>
      </c>
      <c r="C69" s="66" t="str">
        <f>PATIENT_PLANNER!C69</f>
        <v/>
      </c>
      <c r="D69" s="55" t="str">
        <f>IF(PATIENT_PLANNER!F69="","",IF(ISNUMBER(PATIENT_PLANNER!F69),TEXT(PATIENT_PLANNER!F69,"ω:λλ"),PATIENT_PLANNER!F69)&amp;IF(OR(PATIENT_PLANNER!G69="",ISNUMBER(SEARCH("Καθ",PATIENT_PLANNER!G69))),"",
" ("&amp;PATIENT_PLANNER!G69&amp;")")&amp;IF(PATIENT_PLANNER!H69&lt;&gt;"",CHAR(10)&amp;PATIENT_PLANNER!H69,""))</f>
        <v/>
      </c>
      <c r="E69" s="15" t="str">
        <f>IF(PATIENT_PLANNER!I69="","",IF(ISNUMBER(PATIENT_PLANNER!I69),TEXT(PATIENT_PLANNER!I69,"ω:λλ"),PATIENT_PLANNER!I69)&amp;IF(OR(PATIENT_PLANNER!J69="",ISNUMBER(SEARCH("Καθ",PATIENT_PLANNER!J69))),"",
" ("&amp;PATIENT_PLANNER!J69&amp;")")&amp;IF(PATIENT_PLANNER!K69&lt;&gt;"",CHAR(10)&amp;PATIENT_PLANNER!K69,""))</f>
        <v/>
      </c>
      <c r="F69" s="16" t="str">
        <f>IF(PATIENT_PLANNER!N69="","",PATIENT_PLANNER!N69&amp;IF(OR(PATIENT_PLANNER!O69="",ISNUMBER(SEARCH("Καθ",PATIENT_PLANNER!O69))),""," ("&amp;PATIENT_PLANNER!O69&amp;")"))</f>
        <v/>
      </c>
      <c r="G69" s="16" t="str">
        <f>IF(PATIENT_PLANNER!L69="","",PATIENT_PLANNER!L69&amp;IF(OR(PATIENT_PLANNER!M69="",ISNUMBER(SEARCH("Καθ",PATIENT_PLANNER!M69))),""," ("&amp;PATIENT_PLANNER!M69&amp;")"))</f>
        <v/>
      </c>
      <c r="H69" s="17" t="str">
        <f>IF(PATIENT_PLANNER!P69="","",PATIENT_PLANNER!P69&amp;IF(OR(PATIENT_PLANNER!Q69="",ISNUMBER(SEARCH("Καθ",PATIENT_PLANNER!Q69))),""," ("&amp;PATIENT_PLANNER!Q69&amp;")"))</f>
        <v/>
      </c>
      <c r="I69" s="18" t="str">
        <f>IF(PATIENT_PLANNER!R69="","",PATIENT_PLANNER!R69&amp;IF(OR(PATIENT_PLANNER!S69="",ISNUMBER(SEARCH("Καθ",PATIENT_PLANNER!S69))),""," ("&amp;PATIENT_PLANNER!S69&amp;")"))</f>
        <v/>
      </c>
      <c r="J69" s="19" t="str">
        <f>IF(PATIENT_PLANNER!T69="","",PATIENT_PLANNER!T69&amp;IF(OR(PATIENT_PLANNER!U69="",ISNUMBER(SEARCH("Καθ",PATIENT_PLANNER!U69))),""," ("&amp;PATIENT_PLANNER!U69&amp;")"))</f>
        <v/>
      </c>
      <c r="K69" s="14" t="str">
        <f>PATIENT_PLANNER!E69</f>
        <v/>
      </c>
    </row>
    <row r="70" spans="1:11" ht="34.049999999999997" customHeight="1" x14ac:dyDescent="0.3">
      <c r="A70" s="14" t="str">
        <f>PATIENT_PLANNER!D70</f>
        <v>Ο</v>
      </c>
      <c r="B70" s="65" t="str">
        <f>PATIENT_PLANNER!B70</f>
        <v>B08</v>
      </c>
      <c r="C70" s="66" t="str">
        <f>PATIENT_PLANNER!C70</f>
        <v xml:space="preserve">ΤΖΟΡΙΛΗ </v>
      </c>
      <c r="D70" s="55" t="str">
        <f>IF(PATIENT_PLANNER!F70="","",IF(ISNUMBER(PATIENT_PLANNER!F70),TEXT(PATIENT_PLANNER!F70,"ω:λλ"),PATIENT_PLANNER!F70)&amp;IF(OR(PATIENT_PLANNER!G70="",ISNUMBER(SEARCH("Καθ",PATIENT_PLANNER!G70))),"",
" ("&amp;PATIENT_PLANNER!G70&amp;")")&amp;IF(PATIENT_PLANNER!H70&lt;&gt;"",CHAR(10)&amp;PATIENT_PLANNER!H70,""))</f>
        <v>11:30 (Τρ-Πε)
Ψιάχου</v>
      </c>
      <c r="E70" s="15" t="str">
        <f>IF(PATIENT_PLANNER!I70="","",IF(ISNUMBER(PATIENT_PLANNER!I70),TEXT(PATIENT_PLANNER!I70,"ω:λλ"),PATIENT_PLANNER!I70)&amp;IF(OR(PATIENT_PLANNER!J70="",ISNUMBER(SEARCH("Καθ",PATIENT_PLANNER!J70))),"",
" ("&amp;PATIENT_PLANNER!J70&amp;")")&amp;IF(PATIENT_PLANNER!K70&lt;&gt;"",CHAR(10)&amp;PATIENT_PLANNER!K70,""))</f>
        <v/>
      </c>
      <c r="F70" s="16" t="str">
        <f>IF(PATIENT_PLANNER!N70="","",PATIENT_PLANNER!N70&amp;IF(OR(PATIENT_PLANNER!O70="",ISNUMBER(SEARCH("Καθ",PATIENT_PLANNER!O70))),""," ("&amp;PATIENT_PLANNER!O70&amp;")"))</f>
        <v/>
      </c>
      <c r="G70" s="16" t="str">
        <f>IF(PATIENT_PLANNER!L70="","",PATIENT_PLANNER!L70&amp;IF(OR(PATIENT_PLANNER!M70="",ISNUMBER(SEARCH("Καθ",PATIENT_PLANNER!M70))),""," ("&amp;PATIENT_PLANNER!M70&amp;")"))</f>
        <v/>
      </c>
      <c r="H70" s="17" t="str">
        <f>IF(PATIENT_PLANNER!P70="","",PATIENT_PLANNER!P70&amp;IF(OR(PATIENT_PLANNER!Q70="",ISNUMBER(SEARCH("Καθ",PATIENT_PLANNER!Q70))),""," ("&amp;PATIENT_PLANNER!Q70&amp;")"))</f>
        <v>11:30 (Πε)</v>
      </c>
      <c r="I70" s="18" t="str">
        <f>IF(PATIENT_PLANNER!R70="","",PATIENT_PLANNER!R70&amp;IF(OR(PATIENT_PLANNER!S70="",ISNUMBER(SEARCH("Καθ",PATIENT_PLANNER!S70))),""," ("&amp;PATIENT_PLANNER!S70&amp;")"))</f>
        <v/>
      </c>
      <c r="J70" s="19" t="str">
        <f>IF(PATIENT_PLANNER!T70="","",PATIENT_PLANNER!T70&amp;IF(OR(PATIENT_PLANNER!U70="",ISNUMBER(SEARCH("Καθ",PATIENT_PLANNER!U70))),""," ("&amp;PATIENT_PLANNER!U70&amp;")"))</f>
        <v/>
      </c>
      <c r="K70" s="14" t="str">
        <f>PATIENT_PLANNER!E70</f>
        <v>παρών</v>
      </c>
    </row>
    <row r="71" spans="1:11" ht="34.049999999999997" customHeight="1" x14ac:dyDescent="0.3">
      <c r="A71" s="14" t="str">
        <f>PATIENT_PLANNER!D71</f>
        <v>Ν</v>
      </c>
      <c r="B71" s="53" t="str">
        <f>PATIENT_PLANNER!B71</f>
        <v>B09</v>
      </c>
      <c r="C71" s="54" t="str">
        <f>PATIENT_PLANNER!C71</f>
        <v>ΔΙΠΛΑ</v>
      </c>
      <c r="D71" s="55" t="str">
        <f>IF(PATIENT_PLANNER!F71="","",IF(ISNUMBER(PATIENT_PLANNER!F71),TEXT(PATIENT_PLANNER!F71,"ω:λλ"),PATIENT_PLANNER!F71)&amp;IF(OR(PATIENT_PLANNER!G71="",ISNUMBER(SEARCH("Καθ",PATIENT_PLANNER!G71))),"",
" ("&amp;PATIENT_PLANNER!G71&amp;")")&amp;IF(PATIENT_PLANNER!H71&lt;&gt;"",CHAR(10)&amp;PATIENT_PLANNER!H71,""))</f>
        <v>10:00
Χρήστου</v>
      </c>
      <c r="E71" s="15" t="str">
        <f>IF(PATIENT_PLANNER!I71="","",IF(ISNUMBER(PATIENT_PLANNER!I71),TEXT(PATIENT_PLANNER!I71,"ω:λλ"),PATIENT_PLANNER!I71)&amp;IF(OR(PATIENT_PLANNER!J71="",ISNUMBER(SEARCH("Καθ",PATIENT_PLANNER!J71))),"",
" ("&amp;PATIENT_PLANNER!J71&amp;")")&amp;IF(PATIENT_PLANNER!K71&lt;&gt;"",CHAR(10)&amp;PATIENT_PLANNER!K71,""))</f>
        <v/>
      </c>
      <c r="F71" s="16" t="str">
        <f>IF(PATIENT_PLANNER!N71="","",PATIENT_PLANNER!N71&amp;IF(OR(PATIENT_PLANNER!O71="",ISNUMBER(SEARCH("Καθ",PATIENT_PLANNER!O71))),""," ("&amp;PATIENT_PLANNER!O71&amp;")"))</f>
        <v/>
      </c>
      <c r="G71" s="16" t="str">
        <f>IF(PATIENT_PLANNER!L71="","",PATIENT_PLANNER!L71&amp;IF(OR(PATIENT_PLANNER!M71="",ISNUMBER(SEARCH("Καθ",PATIENT_PLANNER!M71))),""," ("&amp;PATIENT_PLANNER!M71&amp;")"))</f>
        <v/>
      </c>
      <c r="H71" s="17" t="str">
        <f>IF(PATIENT_PLANNER!P71="","",PATIENT_PLANNER!P71&amp;IF(OR(PATIENT_PLANNER!Q71="",ISNUMBER(SEARCH("Καθ",PATIENT_PLANNER!Q71))),""," ("&amp;PATIENT_PLANNER!Q71&amp;")"))</f>
        <v/>
      </c>
      <c r="I71" s="18" t="str">
        <f>IF(PATIENT_PLANNER!R71="","",PATIENT_PLANNER!R71&amp;IF(OR(PATIENT_PLANNER!S71="",ISNUMBER(SEARCH("Καθ",PATIENT_PLANNER!S71))),""," ("&amp;PATIENT_PLANNER!S71&amp;")"))</f>
        <v/>
      </c>
      <c r="J71" s="19" t="str">
        <f>IF(PATIENT_PLANNER!T71="","",PATIENT_PLANNER!T71&amp;IF(OR(PATIENT_PLANNER!U71="",ISNUMBER(SEARCH("Καθ",PATIENT_PLANNER!U71))),""," ("&amp;PATIENT_PLANNER!U71&amp;")"))</f>
        <v/>
      </c>
      <c r="K71" s="14" t="str">
        <f>PATIENT_PLANNER!E71</f>
        <v>παρών</v>
      </c>
    </row>
    <row r="72" spans="1:11" ht="34.049999999999997" customHeight="1" x14ac:dyDescent="0.3">
      <c r="A72" s="14" t="str">
        <f>PATIENT_PLANNER!D72</f>
        <v>Ν</v>
      </c>
      <c r="B72" s="53" t="str">
        <f>PATIENT_PLANNER!B72</f>
        <v>B09</v>
      </c>
      <c r="C72" s="54" t="str">
        <f>PATIENT_PLANNER!C72</f>
        <v>ΚΑΤΣΑΝΤΩΝΗΣ</v>
      </c>
      <c r="D72" s="55" t="str">
        <f>IF(PATIENT_PLANNER!F72="","",IF(ISNUMBER(PATIENT_PLANNER!F72),TEXT(PATIENT_PLANNER!F72,"ω:λλ"),PATIENT_PLANNER!F72)&amp;IF(OR(PATIENT_PLANNER!G72="",ISNUMBER(SEARCH("Καθ",PATIENT_PLANNER!G72))),"",
" ("&amp;PATIENT_PLANNER!G72&amp;")")&amp;IF(PATIENT_PLANNER!H72&lt;&gt;"",CHAR(10)&amp;PATIENT_PLANNER!H72,""))</f>
        <v>10:00
Γαβράς</v>
      </c>
      <c r="E72" s="15" t="str">
        <f>IF(PATIENT_PLANNER!I72="","",IF(ISNUMBER(PATIENT_PLANNER!I72),TEXT(PATIENT_PLANNER!I72,"ω:λλ"),PATIENT_PLANNER!I72)&amp;IF(OR(PATIENT_PLANNER!J72="",ISNUMBER(SEARCH("Καθ",PATIENT_PLANNER!J72))),"",
" ("&amp;PATIENT_PLANNER!J72&amp;")")&amp;IF(PATIENT_PLANNER!K72&lt;&gt;"",CHAR(10)&amp;PATIENT_PLANNER!K72,""))</f>
        <v/>
      </c>
      <c r="F72" s="16" t="str">
        <f>IF(PATIENT_PLANNER!N72="","",PATIENT_PLANNER!N72&amp;IF(OR(PATIENT_PLANNER!O72="",ISNUMBER(SEARCH("Καθ",PATIENT_PLANNER!O72))),""," ("&amp;PATIENT_PLANNER!O72&amp;")"))</f>
        <v/>
      </c>
      <c r="G72" s="16" t="str">
        <f>IF(PATIENT_PLANNER!L72="","",PATIENT_PLANNER!L72&amp;IF(OR(PATIENT_PLANNER!M72="",ISNUMBER(SEARCH("Καθ",PATIENT_PLANNER!M72))),""," ("&amp;PATIENT_PLANNER!M72&amp;")"))</f>
        <v/>
      </c>
      <c r="H72" s="17" t="str">
        <f>IF(PATIENT_PLANNER!P72="","",PATIENT_PLANNER!P72&amp;IF(OR(PATIENT_PLANNER!Q72="",ISNUMBER(SEARCH("Καθ",PATIENT_PLANNER!Q72))),""," ("&amp;PATIENT_PLANNER!Q72&amp;")"))</f>
        <v>13:00</v>
      </c>
      <c r="I72" s="18" t="str">
        <f>IF(PATIENT_PLANNER!R72="","",PATIENT_PLANNER!R72&amp;IF(OR(PATIENT_PLANNER!S72="",ISNUMBER(SEARCH("Καθ",PATIENT_PLANNER!S72))),""," ("&amp;PATIENT_PLANNER!S72&amp;")"))</f>
        <v/>
      </c>
      <c r="J72" s="19" t="str">
        <f>IF(PATIENT_PLANNER!T72="","",PATIENT_PLANNER!T72&amp;IF(OR(PATIENT_PLANNER!U72="",ISNUMBER(SEARCH("Καθ",PATIENT_PLANNER!U72))),""," ("&amp;PATIENT_PLANNER!U72&amp;")"))</f>
        <v/>
      </c>
      <c r="K72" s="14" t="str">
        <f>PATIENT_PLANNER!E72</f>
        <v>παρών</v>
      </c>
    </row>
    <row r="73" spans="1:11" ht="34.049999999999997" customHeight="1" x14ac:dyDescent="0.3">
      <c r="A73" s="14" t="str">
        <f>PATIENT_PLANNER!D73</f>
        <v>Ν</v>
      </c>
      <c r="B73" s="53" t="str">
        <f>PATIENT_PLANNER!B73</f>
        <v>B10</v>
      </c>
      <c r="C73" s="54" t="str">
        <f>PATIENT_PLANNER!C73</f>
        <v>BAKHIT LATIF</v>
      </c>
      <c r="D73" s="55" t="str">
        <f>IF(PATIENT_PLANNER!F73="","",IF(ISNUMBER(PATIENT_PLANNER!F73),TEXT(PATIENT_PLANNER!F73,"ω:λλ"),PATIENT_PLANNER!F73)&amp;IF(OR(PATIENT_PLANNER!G73="",ISNUMBER(SEARCH("Καθ",PATIENT_PLANNER!G73))),"",
" ("&amp;PATIENT_PLANNER!G73&amp;")")&amp;IF(PATIENT_PLANNER!H73&lt;&gt;"",CHAR(10)&amp;PATIENT_PLANNER!H73,""))</f>
        <v>9:15
Γουνελάς</v>
      </c>
      <c r="E73" s="15" t="str">
        <f>IF(PATIENT_PLANNER!I73="","",IF(ISNUMBER(PATIENT_PLANNER!I73),TEXT(PATIENT_PLANNER!I73,"ω:λλ"),PATIENT_PLANNER!I73)&amp;IF(OR(PATIENT_PLANNER!J73="",ISNUMBER(SEARCH("Καθ",PATIENT_PLANNER!J73))),"",
" ("&amp;PATIENT_PLANNER!J73&amp;")")&amp;IF(PATIENT_PLANNER!K73&lt;&gt;"",CHAR(10)&amp;PATIENT_PLANNER!K73,""))</f>
        <v/>
      </c>
      <c r="F73" s="16" t="str">
        <f>IF(PATIENT_PLANNER!N73="","",PATIENT_PLANNER!N73&amp;IF(OR(PATIENT_PLANNER!O73="",ISNUMBER(SEARCH("Καθ",PATIENT_PLANNER!O73))),""," ("&amp;PATIENT_PLANNER!O73&amp;")"))</f>
        <v/>
      </c>
      <c r="G73" s="16" t="str">
        <f>IF(PATIENT_PLANNER!L73="","",PATIENT_PLANNER!L73&amp;IF(OR(PATIENT_PLANNER!M73="",ISNUMBER(SEARCH("Καθ",PATIENT_PLANNER!M73))),""," ("&amp;PATIENT_PLANNER!M73&amp;")"))</f>
        <v/>
      </c>
      <c r="H73" s="17" t="str">
        <f>IF(PATIENT_PLANNER!P73="","",PATIENT_PLANNER!P73&amp;IF(OR(PATIENT_PLANNER!Q73="",ISNUMBER(SEARCH("Καθ",PATIENT_PLANNER!Q73))),""," ("&amp;PATIENT_PLANNER!Q73&amp;")"))</f>
        <v>12:15 (Δε-Τρ-Πε)</v>
      </c>
      <c r="I73" s="18" t="str">
        <f>IF(PATIENT_PLANNER!R73="","",PATIENT_PLANNER!R73&amp;IF(OR(PATIENT_PLANNER!S73="",ISNUMBER(SEARCH("Καθ",PATIENT_PLANNER!S73))),""," ("&amp;PATIENT_PLANNER!S73&amp;")"))</f>
        <v/>
      </c>
      <c r="J73" s="19" t="str">
        <f>IF(PATIENT_PLANNER!T73="","",PATIENT_PLANNER!T73&amp;IF(OR(PATIENT_PLANNER!U73="",ISNUMBER(SEARCH("Καθ",PATIENT_PLANNER!U73))),""," ("&amp;PATIENT_PLANNER!U73&amp;")"))</f>
        <v>11:30 (Δε-Τε)</v>
      </c>
      <c r="K73" s="14" t="str">
        <f>PATIENT_PLANNER!E73</f>
        <v>παρών</v>
      </c>
    </row>
    <row r="74" spans="1:11" ht="34.049999999999997" customHeight="1" x14ac:dyDescent="0.3">
      <c r="A74" s="14" t="str">
        <f>PATIENT_PLANNER!D74</f>
        <v>Ν</v>
      </c>
      <c r="B74" s="53" t="str">
        <f>PATIENT_PLANNER!B74</f>
        <v>B10</v>
      </c>
      <c r="C74" s="54" t="str">
        <f>PATIENT_PLANNER!C74</f>
        <v>ΒΡΑΧΝΟΣ</v>
      </c>
      <c r="D74" s="55" t="str">
        <f>IF(PATIENT_PLANNER!F74="","",IF(ISNUMBER(PATIENT_PLANNER!F74),TEXT(PATIENT_PLANNER!F74,"ω:λλ"),PATIENT_PLANNER!F74)&amp;IF(OR(PATIENT_PLANNER!G74="",ISNUMBER(SEARCH("Καθ",PATIENT_PLANNER!G74))),"",
" ("&amp;PATIENT_PLANNER!G74&amp;")")&amp;IF(PATIENT_PLANNER!H74&lt;&gt;"",CHAR(10)&amp;PATIENT_PLANNER!H74,""))</f>
        <v>10:00 (Τρ-Πε)
Σάρρας</v>
      </c>
      <c r="E74" s="15" t="str">
        <f>IF(PATIENT_PLANNER!I74="","",IF(ISNUMBER(PATIENT_PLANNER!I74),TEXT(PATIENT_PLANNER!I74,"ω:λλ"),PATIENT_PLANNER!I74)&amp;IF(OR(PATIENT_PLANNER!J74="",ISNUMBER(SEARCH("Καθ",PATIENT_PLANNER!J74))),"",
" ("&amp;PATIENT_PLANNER!J74&amp;")")&amp;IF(PATIENT_PLANNER!K74&lt;&gt;"",CHAR(10)&amp;PATIENT_PLANNER!K74,""))</f>
        <v/>
      </c>
      <c r="F74" s="16" t="str">
        <f>IF(PATIENT_PLANNER!N74="","",PATIENT_PLANNER!N74&amp;IF(OR(PATIENT_PLANNER!O74="",ISNUMBER(SEARCH("Καθ",PATIENT_PLANNER!O74))),""," ("&amp;PATIENT_PLANNER!O74&amp;")"))</f>
        <v/>
      </c>
      <c r="G74" s="16" t="str">
        <f>IF(PATIENT_PLANNER!L74="","",PATIENT_PLANNER!L74&amp;IF(OR(PATIENT_PLANNER!M74="",ISNUMBER(SEARCH("Καθ",PATIENT_PLANNER!M74))),""," ("&amp;PATIENT_PLANNER!M74&amp;")"))</f>
        <v/>
      </c>
      <c r="H74" s="17" t="str">
        <f>IF(PATIENT_PLANNER!P74="","",PATIENT_PLANNER!P74&amp;IF(OR(PATIENT_PLANNER!Q74="",ISNUMBER(SEARCH("Καθ",PATIENT_PLANNER!Q74))),""," ("&amp;PATIENT_PLANNER!Q74&amp;")"))</f>
        <v/>
      </c>
      <c r="I74" s="18" t="str">
        <f>IF(PATIENT_PLANNER!R74="","",PATIENT_PLANNER!R74&amp;IF(OR(PATIENT_PLANNER!S74="",ISNUMBER(SEARCH("Καθ",PATIENT_PLANNER!S74))),""," ("&amp;PATIENT_PLANNER!S74&amp;")"))</f>
        <v/>
      </c>
      <c r="J74" s="19" t="str">
        <f>IF(PATIENT_PLANNER!T74="","",PATIENT_PLANNER!T74&amp;IF(OR(PATIENT_PLANNER!U74="",ISNUMBER(SEARCH("Καθ",PATIENT_PLANNER!U74))),""," ("&amp;PATIENT_PLANNER!U74&amp;")"))</f>
        <v/>
      </c>
      <c r="K74" s="14" t="str">
        <f>PATIENT_PLANNER!E74</f>
        <v>παρών</v>
      </c>
    </row>
    <row r="75" spans="1:11" ht="34.049999999999997" customHeight="1" x14ac:dyDescent="0.3">
      <c r="A75" s="14" t="str">
        <f>PATIENT_PLANNER!D75</f>
        <v>Ν</v>
      </c>
      <c r="B75" s="53" t="str">
        <f>PATIENT_PLANNER!B75</f>
        <v>B10</v>
      </c>
      <c r="C75" s="54" t="str">
        <f>PATIENT_PLANNER!C75</f>
        <v>ΚΑΠΡΕΤΣΟΣ</v>
      </c>
      <c r="D75" s="55" t="str">
        <f>IF(PATIENT_PLANNER!F75="","",IF(ISNUMBER(PATIENT_PLANNER!F75),TEXT(PATIENT_PLANNER!F75,"ω:λλ"),PATIENT_PLANNER!F75)&amp;IF(OR(PATIENT_PLANNER!G75="",ISNUMBER(SEARCH("Καθ",PATIENT_PLANNER!G75))),"",
" ("&amp;PATIENT_PLANNER!G75&amp;")")&amp;IF(PATIENT_PLANNER!H75&lt;&gt;"",CHAR(10)&amp;PATIENT_PLANNER!H75,""))</f>
        <v>10:45
Σάκκου</v>
      </c>
      <c r="E75" s="15" t="str">
        <f>IF(PATIENT_PLANNER!I75="","",IF(ISNUMBER(PATIENT_PLANNER!I75),TEXT(PATIENT_PLANNER!I75,"ω:λλ"),PATIENT_PLANNER!I75)&amp;IF(OR(PATIENT_PLANNER!J75="",ISNUMBER(SEARCH("Καθ",PATIENT_PLANNER!J75))),"",
" ("&amp;PATIENT_PLANNER!J75&amp;")")&amp;IF(PATIENT_PLANNER!K75&lt;&gt;"",CHAR(10)&amp;PATIENT_PLANNER!K75,""))</f>
        <v/>
      </c>
      <c r="F75" s="16" t="str">
        <f>IF(PATIENT_PLANNER!N75="","",PATIENT_PLANNER!N75&amp;IF(OR(PATIENT_PLANNER!O75="",ISNUMBER(SEARCH("Καθ",PATIENT_PLANNER!O75))),""," ("&amp;PATIENT_PLANNER!O75&amp;")"))</f>
        <v/>
      </c>
      <c r="G75" s="16" t="str">
        <f>IF(PATIENT_PLANNER!L75="","",PATIENT_PLANNER!L75&amp;IF(OR(PATIENT_PLANNER!M75="",ISNUMBER(SEARCH("Καθ",PATIENT_PLANNER!M75))),""," ("&amp;PATIENT_PLANNER!M75&amp;")"))</f>
        <v/>
      </c>
      <c r="H75" s="17" t="str">
        <f>IF(PATIENT_PLANNER!P75="","",PATIENT_PLANNER!P75&amp;IF(OR(PATIENT_PLANNER!Q75="",ISNUMBER(SEARCH("Καθ",PATIENT_PLANNER!Q75))),""," ("&amp;PATIENT_PLANNER!Q75&amp;")"))</f>
        <v>11:30 (Τρ-Πε)</v>
      </c>
      <c r="I75" s="18" t="str">
        <f>IF(PATIENT_PLANNER!R75="","",PATIENT_PLANNER!R75&amp;IF(OR(PATIENT_PLANNER!S75="",ISNUMBER(SEARCH("Καθ",PATIENT_PLANNER!S75))),""," ("&amp;PATIENT_PLANNER!S75&amp;")"))</f>
        <v/>
      </c>
      <c r="J75" s="19" t="str">
        <f>IF(PATIENT_PLANNER!T75="","",PATIENT_PLANNER!T75&amp;IF(OR(PATIENT_PLANNER!U75="",ISNUMBER(SEARCH("Καθ",PATIENT_PLANNER!U75))),""," ("&amp;PATIENT_PLANNER!U75&amp;")"))</f>
        <v/>
      </c>
      <c r="K75" s="14" t="str">
        <f>PATIENT_PLANNER!E75</f>
        <v>παρών</v>
      </c>
    </row>
    <row r="76" spans="1:11" ht="34.049999999999997" customHeight="1" x14ac:dyDescent="0.3">
      <c r="A76" s="14" t="str">
        <f>PATIENT_PLANNER!D76</f>
        <v>Ν</v>
      </c>
      <c r="B76" s="53" t="str">
        <f>PATIENT_PLANNER!B76</f>
        <v>B10</v>
      </c>
      <c r="C76" s="54" t="str">
        <f>PATIENT_PLANNER!C76</f>
        <v>ΚΩΝΣΤΑΝΤΙΟΣ</v>
      </c>
      <c r="D76" s="55" t="str">
        <f>IF(PATIENT_PLANNER!F76="","",IF(ISNUMBER(PATIENT_PLANNER!F76),TEXT(PATIENT_PLANNER!F76,"ω:λλ"),PATIENT_PLANNER!F76)&amp;IF(OR(PATIENT_PLANNER!G76="",ISNUMBER(SEARCH("Καθ",PATIENT_PLANNER!G76))),"",
" ("&amp;PATIENT_PLANNER!G76&amp;")")&amp;IF(PATIENT_PLANNER!H76&lt;&gt;"",CHAR(10)&amp;PATIENT_PLANNER!H76,""))</f>
        <v/>
      </c>
      <c r="E76" s="15" t="str">
        <f>IF(PATIENT_PLANNER!I76="","",IF(ISNUMBER(PATIENT_PLANNER!I76),TEXT(PATIENT_PLANNER!I76,"ω:λλ"),PATIENT_PLANNER!I76)&amp;IF(OR(PATIENT_PLANNER!J76="",ISNUMBER(SEARCH("Καθ",PATIENT_PLANNER!J76))),"",
" ("&amp;PATIENT_PLANNER!J76&amp;")")&amp;IF(PATIENT_PLANNER!K76&lt;&gt;"",CHAR(10)&amp;PATIENT_PLANNER!K76,""))</f>
        <v/>
      </c>
      <c r="F76" s="16" t="str">
        <f>IF(PATIENT_PLANNER!N76="","",PATIENT_PLANNER!N76&amp;IF(OR(PATIENT_PLANNER!O76="",ISNUMBER(SEARCH("Καθ",PATIENT_PLANNER!O76))),""," ("&amp;PATIENT_PLANNER!O76&amp;")"))</f>
        <v/>
      </c>
      <c r="G76" s="16" t="str">
        <f>IF(PATIENT_PLANNER!L76="","",PATIENT_PLANNER!L76&amp;IF(OR(PATIENT_PLANNER!M76="",ISNUMBER(SEARCH("Καθ",PATIENT_PLANNER!M76))),""," ("&amp;PATIENT_PLANNER!M76&amp;")"))</f>
        <v/>
      </c>
      <c r="H76" s="17" t="str">
        <f>IF(PATIENT_PLANNER!P76="","",PATIENT_PLANNER!P76&amp;IF(OR(PATIENT_PLANNER!Q76="",ISNUMBER(SEARCH("Καθ",PATIENT_PLANNER!Q76))),""," ("&amp;PATIENT_PLANNER!Q76&amp;")"))</f>
        <v/>
      </c>
      <c r="I76" s="18" t="str">
        <f>IF(PATIENT_PLANNER!R76="","",PATIENT_PLANNER!R76&amp;IF(OR(PATIENT_PLANNER!S76="",ISNUMBER(SEARCH("Καθ",PATIENT_PLANNER!S76))),""," ("&amp;PATIENT_PLANNER!S76&amp;")"))</f>
        <v/>
      </c>
      <c r="J76" s="19" t="str">
        <f>IF(PATIENT_PLANNER!T76="","",PATIENT_PLANNER!T76&amp;IF(OR(PATIENT_PLANNER!U76="",ISNUMBER(SEARCH("Καθ",PATIENT_PLANNER!U76))),""," ("&amp;PATIENT_PLANNER!U76&amp;")"))</f>
        <v/>
      </c>
      <c r="K76" s="14" t="str">
        <f>PATIENT_PLANNER!E76</f>
        <v>αναβολή ΦΘ</v>
      </c>
    </row>
    <row r="77" spans="1:11" ht="34.049999999999997" customHeight="1" x14ac:dyDescent="0.3">
      <c r="A77" s="14" t="str">
        <f>PATIENT_PLANNER!D77</f>
        <v>Ν</v>
      </c>
      <c r="B77" s="53" t="str">
        <f>PATIENT_PLANNER!B77</f>
        <v>B13</v>
      </c>
      <c r="C77" s="54" t="str">
        <f>PATIENT_PLANNER!C77</f>
        <v>ΔΕΡΜΙΤΖΑΚΗΣ</v>
      </c>
      <c r="D77" s="55" t="str">
        <f>IF(PATIENT_PLANNER!F77="","",IF(ISNUMBER(PATIENT_PLANNER!F77),TEXT(PATIENT_PLANNER!F77,"ω:λλ"),PATIENT_PLANNER!F77)&amp;IF(OR(PATIENT_PLANNER!G77="",ISNUMBER(SEARCH("Καθ",PATIENT_PLANNER!G77))),"",
" ("&amp;PATIENT_PLANNER!G77&amp;")")&amp;IF(PATIENT_PLANNER!H77&lt;&gt;"",CHAR(10)&amp;PATIENT_PLANNER!H77,""))</f>
        <v>9:15
Κοσμίδης</v>
      </c>
      <c r="E77" s="15" t="str">
        <f>IF(PATIENT_PLANNER!I77="","",IF(ISNUMBER(PATIENT_PLANNER!I77),TEXT(PATIENT_PLANNER!I77,"ω:λλ"),PATIENT_PLANNER!I77)&amp;IF(OR(PATIENT_PLANNER!J77="",ISNUMBER(SEARCH("Καθ",PATIENT_PLANNER!J77))),"",
" ("&amp;PATIENT_PLANNER!J77&amp;")")&amp;IF(PATIENT_PLANNER!K77&lt;&gt;"",CHAR(10)&amp;PATIENT_PLANNER!K77,""))</f>
        <v/>
      </c>
      <c r="F77" s="16" t="str">
        <f>IF(PATIENT_PLANNER!N77="","",PATIENT_PLANNER!N77&amp;IF(OR(PATIENT_PLANNER!O77="",ISNUMBER(SEARCH("Καθ",PATIENT_PLANNER!O77))),""," ("&amp;PATIENT_PLANNER!O77&amp;")"))</f>
        <v/>
      </c>
      <c r="G77" s="16" t="str">
        <f>IF(PATIENT_PLANNER!L77="","",PATIENT_PLANNER!L77&amp;IF(OR(PATIENT_PLANNER!M77="",ISNUMBER(SEARCH("Καθ",PATIENT_PLANNER!M77))),""," ("&amp;PATIENT_PLANNER!M77&amp;")"))</f>
        <v/>
      </c>
      <c r="H77" s="17" t="str">
        <f>IF(PATIENT_PLANNER!P77="","",PATIENT_PLANNER!P77&amp;IF(OR(PATIENT_PLANNER!Q77="",ISNUMBER(SEARCH("Καθ",PATIENT_PLANNER!Q77))),""," ("&amp;PATIENT_PLANNER!Q77&amp;")"))</f>
        <v>8:30</v>
      </c>
      <c r="I77" s="18" t="str">
        <f>IF(PATIENT_PLANNER!R77="","",PATIENT_PLANNER!R77&amp;IF(OR(PATIENT_PLANNER!S77="",ISNUMBER(SEARCH("Καθ",PATIENT_PLANNER!S77))),""," ("&amp;PATIENT_PLANNER!S77&amp;")"))</f>
        <v>11:30</v>
      </c>
      <c r="J77" s="19" t="str">
        <f>IF(PATIENT_PLANNER!T77="","",PATIENT_PLANNER!T77&amp;IF(OR(PATIENT_PLANNER!U77="",ISNUMBER(SEARCH("Καθ",PATIENT_PLANNER!U77))),""," ("&amp;PATIENT_PLANNER!U77&amp;")"))</f>
        <v/>
      </c>
      <c r="K77" s="14" t="str">
        <f>PATIENT_PLANNER!E77</f>
        <v>παρών</v>
      </c>
    </row>
    <row r="78" spans="1:11" ht="34.049999999999997" customHeight="1" x14ac:dyDescent="0.3">
      <c r="A78" s="14" t="str">
        <f>PATIENT_PLANNER!D78</f>
        <v>Ν</v>
      </c>
      <c r="B78" s="53" t="str">
        <f>PATIENT_PLANNER!B78</f>
        <v>B13</v>
      </c>
      <c r="C78" s="54" t="str">
        <f>PATIENT_PLANNER!C78</f>
        <v>ΠΑΖΙΟΣ ΑΝΔ</v>
      </c>
      <c r="D78" s="55" t="str">
        <f>IF(PATIENT_PLANNER!F78="","",IF(ISNUMBER(PATIENT_PLANNER!F78),TEXT(PATIENT_PLANNER!F78,"ω:λλ"),PATIENT_PLANNER!F78)&amp;IF(OR(PATIENT_PLANNER!G78="",ISNUMBER(SEARCH("Καθ",PATIENT_PLANNER!G78))),"",
" ("&amp;PATIENT_PLANNER!G78&amp;")")&amp;IF(PATIENT_PLANNER!H78&lt;&gt;"",CHAR(10)&amp;PATIENT_PLANNER!H78,""))</f>
        <v>10:45
Καλυβιώτης</v>
      </c>
      <c r="E78" s="15" t="str">
        <f>IF(PATIENT_PLANNER!I78="","",IF(ISNUMBER(PATIENT_PLANNER!I78),TEXT(PATIENT_PLANNER!I78,"ω:λλ"),PATIENT_PLANNER!I78)&amp;IF(OR(PATIENT_PLANNER!J78="",ISNUMBER(SEARCH("Καθ",PATIENT_PLANNER!J78))),"",
" ("&amp;PATIENT_PLANNER!J78&amp;")")&amp;IF(PATIENT_PLANNER!K78&lt;&gt;"",CHAR(10)&amp;PATIENT_PLANNER!K78,""))</f>
        <v/>
      </c>
      <c r="F78" s="16" t="str">
        <f>IF(PATIENT_PLANNER!N78="","",PATIENT_PLANNER!N78&amp;IF(OR(PATIENT_PLANNER!O78="",ISNUMBER(SEARCH("Καθ",PATIENT_PLANNER!O78))),""," ("&amp;PATIENT_PLANNER!O78&amp;")"))</f>
        <v/>
      </c>
      <c r="G78" s="16" t="str">
        <f>IF(PATIENT_PLANNER!L78="","",PATIENT_PLANNER!L78&amp;IF(OR(PATIENT_PLANNER!M78="",ISNUMBER(SEARCH("Καθ",PATIENT_PLANNER!M78))),""," ("&amp;PATIENT_PLANNER!M78&amp;")"))</f>
        <v/>
      </c>
      <c r="H78" s="17" t="str">
        <f>IF(PATIENT_PLANNER!P78="","",PATIENT_PLANNER!P78&amp;IF(OR(PATIENT_PLANNER!Q78="",ISNUMBER(SEARCH("Καθ",PATIENT_PLANNER!Q78))),""," ("&amp;PATIENT_PLANNER!Q78&amp;")"))</f>
        <v/>
      </c>
      <c r="I78" s="18" t="str">
        <f>IF(PATIENT_PLANNER!R78="","",PATIENT_PLANNER!R78&amp;IF(OR(PATIENT_PLANNER!S78="",ISNUMBER(SEARCH("Καθ",PATIENT_PLANNER!S78))),""," ("&amp;PATIENT_PLANNER!S78&amp;")"))</f>
        <v/>
      </c>
      <c r="J78" s="19" t="str">
        <f>IF(PATIENT_PLANNER!T78="","",PATIENT_PLANNER!T78&amp;IF(OR(PATIENT_PLANNER!U78="",ISNUMBER(SEARCH("Καθ",PATIENT_PLANNER!U78))),""," ("&amp;PATIENT_PLANNER!U78&amp;")"))</f>
        <v/>
      </c>
      <c r="K78" s="14" t="str">
        <f>PATIENT_PLANNER!E78</f>
        <v>παρών</v>
      </c>
    </row>
    <row r="79" spans="1:11" ht="34.049999999999997" customHeight="1" x14ac:dyDescent="0.3">
      <c r="A79" s="14" t="str">
        <f>PATIENT_PLANNER!D79</f>
        <v>Ο</v>
      </c>
      <c r="B79" s="65" t="str">
        <f>PATIENT_PLANNER!B79</f>
        <v>B14</v>
      </c>
      <c r="C79" s="66" t="str">
        <f>PATIENT_PLANNER!C79</f>
        <v>ΗΛΙΑ ΧΡΥΣΟΥΛΑ</v>
      </c>
      <c r="D79" s="55" t="str">
        <f>IF(PATIENT_PLANNER!F79="","",IF(ISNUMBER(PATIENT_PLANNER!F79),TEXT(PATIENT_PLANNER!F79,"ω:λλ"),PATIENT_PLANNER!F79)&amp;IF(OR(PATIENT_PLANNER!G79="",ISNUMBER(SEARCH("Καθ",PATIENT_PLANNER!G79))),"",
" ("&amp;PATIENT_PLANNER!G79&amp;")")&amp;IF(PATIENT_PLANNER!H79&lt;&gt;"",CHAR(10)&amp;PATIENT_PLANNER!H79,""))</f>
        <v>9:15
Γαβράς</v>
      </c>
      <c r="E79" s="15" t="str">
        <f>IF(PATIENT_PLANNER!I79="","",IF(ISNUMBER(PATIENT_PLANNER!I79),TEXT(PATIENT_PLANNER!I79,"ω:λλ"),PATIENT_PLANNER!I79)&amp;IF(OR(PATIENT_PLANNER!J79="",ISNUMBER(SEARCH("Καθ",PATIENT_PLANNER!J79))),"",
" ("&amp;PATIENT_PLANNER!J79&amp;")")&amp;IF(PATIENT_PLANNER!K79&lt;&gt;"",CHAR(10)&amp;PATIENT_PLANNER!K79,""))</f>
        <v/>
      </c>
      <c r="F79" s="16" t="str">
        <f>IF(PATIENT_PLANNER!N79="","",PATIENT_PLANNER!N79&amp;IF(OR(PATIENT_PLANNER!O79="",ISNUMBER(SEARCH("Καθ",PATIENT_PLANNER!O79))),""," ("&amp;PATIENT_PLANNER!O79&amp;")"))</f>
        <v/>
      </c>
      <c r="G79" s="16" t="str">
        <f>IF(PATIENT_PLANNER!L79="","",PATIENT_PLANNER!L79&amp;IF(OR(PATIENT_PLANNER!M79="",ISNUMBER(SEARCH("Καθ",PATIENT_PLANNER!M79))),""," ("&amp;PATIENT_PLANNER!M79&amp;")"))</f>
        <v/>
      </c>
      <c r="H79" s="17" t="str">
        <f>IF(PATIENT_PLANNER!P79="","",PATIENT_PLANNER!P79&amp;IF(OR(PATIENT_PLANNER!Q79="",ISNUMBER(SEARCH("Καθ",PATIENT_PLANNER!Q79))),""," ("&amp;PATIENT_PLANNER!Q79&amp;")"))</f>
        <v>9:15 (Δε-Τε-Πα)</v>
      </c>
      <c r="I79" s="18" t="str">
        <f>IF(PATIENT_PLANNER!R79="","",PATIENT_PLANNER!R79&amp;IF(OR(PATIENT_PLANNER!S79="",ISNUMBER(SEARCH("Καθ",PATIENT_PLANNER!S79))),""," ("&amp;PATIENT_PLANNER!S79&amp;")"))</f>
        <v>10:00 (Δε-Πα)</v>
      </c>
      <c r="J79" s="19" t="str">
        <f>IF(PATIENT_PLANNER!T79="","",PATIENT_PLANNER!T79&amp;IF(OR(PATIENT_PLANNER!U79="",ISNUMBER(SEARCH("Καθ",PATIENT_PLANNER!U79))),""," ("&amp;PATIENT_PLANNER!U79&amp;")"))</f>
        <v/>
      </c>
      <c r="K79" s="14" t="str">
        <f>PATIENT_PLANNER!E79</f>
        <v>παρών</v>
      </c>
    </row>
    <row r="80" spans="1:11" ht="34.049999999999997" customHeight="1" x14ac:dyDescent="0.3">
      <c r="A80" s="14" t="str">
        <f>PATIENT_PLANNER!D80</f>
        <v>Ο</v>
      </c>
      <c r="B80" s="65" t="str">
        <f>PATIENT_PLANNER!B80</f>
        <v>B14</v>
      </c>
      <c r="C80" s="66" t="str">
        <f>PATIENT_PLANNER!C80</f>
        <v>ΜΑΛΑΠΑΝΗ</v>
      </c>
      <c r="D80" s="55" t="str">
        <f>IF(PATIENT_PLANNER!F80="","",IF(ISNUMBER(PATIENT_PLANNER!F80),TEXT(PATIENT_PLANNER!F80,"ω:λλ"),PATIENT_PLANNER!F80)&amp;IF(OR(PATIENT_PLANNER!G80="",ISNUMBER(SEARCH("Καθ",PATIENT_PLANNER!G80))),"",
" ("&amp;PATIENT_PLANNER!G80&amp;")")&amp;IF(PATIENT_PLANNER!H80&lt;&gt;"",CHAR(10)&amp;PATIENT_PLANNER!H80,""))</f>
        <v>10:00 (Δε-Τε-Πα)
Σάρρας</v>
      </c>
      <c r="E80" s="15" t="str">
        <f>IF(PATIENT_PLANNER!I80="","",IF(ISNUMBER(PATIENT_PLANNER!I80),TEXT(PATIENT_PLANNER!I80,"ω:λλ"),PATIENT_PLANNER!I80)&amp;IF(OR(PATIENT_PLANNER!J80="",ISNUMBER(SEARCH("Καθ",PATIENT_PLANNER!J80))),"",
" ("&amp;PATIENT_PLANNER!J80&amp;")")&amp;IF(PATIENT_PLANNER!K80&lt;&gt;"",CHAR(10)&amp;PATIENT_PLANNER!K80,""))</f>
        <v/>
      </c>
      <c r="F80" s="16" t="str">
        <f>IF(PATIENT_PLANNER!N80="","",PATIENT_PLANNER!N80&amp;IF(OR(PATIENT_PLANNER!O80="",ISNUMBER(SEARCH("Καθ",PATIENT_PLANNER!O80))),""," ("&amp;PATIENT_PLANNER!O80&amp;")"))</f>
        <v/>
      </c>
      <c r="G80" s="16" t="str">
        <f>IF(PATIENT_PLANNER!L80="","",PATIENT_PLANNER!L80&amp;IF(OR(PATIENT_PLANNER!M80="",ISNUMBER(SEARCH("Καθ",PATIENT_PLANNER!M80))),""," ("&amp;PATIENT_PLANNER!M80&amp;")"))</f>
        <v/>
      </c>
      <c r="H80" s="17" t="str">
        <f>IF(PATIENT_PLANNER!P80="","",PATIENT_PLANNER!P80&amp;IF(OR(PATIENT_PLANNER!Q80="",ISNUMBER(SEARCH("Καθ",PATIENT_PLANNER!Q80))),""," ("&amp;PATIENT_PLANNER!Q80&amp;")"))</f>
        <v/>
      </c>
      <c r="I80" s="18" t="str">
        <f>IF(PATIENT_PLANNER!R80="","",PATIENT_PLANNER!R80&amp;IF(OR(PATIENT_PLANNER!S80="",ISNUMBER(SEARCH("Καθ",PATIENT_PLANNER!S80))),""," ("&amp;PATIENT_PLANNER!S80&amp;")"))</f>
        <v/>
      </c>
      <c r="J80" s="19" t="str">
        <f>IF(PATIENT_PLANNER!T80="","",PATIENT_PLANNER!T80&amp;IF(OR(PATIENT_PLANNER!U80="",ISNUMBER(SEARCH("Καθ",PATIENT_PLANNER!U80))),""," ("&amp;PATIENT_PLANNER!U80&amp;")"))</f>
        <v/>
      </c>
      <c r="K80" s="14" t="str">
        <f>PATIENT_PLANNER!E80</f>
        <v>παρών</v>
      </c>
    </row>
    <row r="81" spans="1:11" ht="34.049999999999997" customHeight="1" x14ac:dyDescent="0.3">
      <c r="A81" s="14" t="str">
        <f>PATIENT_PLANNER!D81</f>
        <v>Ο</v>
      </c>
      <c r="B81" s="65" t="str">
        <f>PATIENT_PLANNER!B81</f>
        <v>B14</v>
      </c>
      <c r="C81" s="66" t="str">
        <f>PATIENT_PLANNER!C81</f>
        <v>ΜΠΑΡΜΠΑΚΗ</v>
      </c>
      <c r="D81" s="55" t="str">
        <f>IF(PATIENT_PLANNER!F81="","",IF(ISNUMBER(PATIENT_PLANNER!F81),TEXT(PATIENT_PLANNER!F81,"ω:λλ"),PATIENT_PLANNER!F81)&amp;IF(OR(PATIENT_PLANNER!G81="",ISNUMBER(SEARCH("Καθ",PATIENT_PLANNER!G81))),"",
" ("&amp;PATIENT_PLANNER!G81&amp;")")&amp;IF(PATIENT_PLANNER!H81&lt;&gt;"",CHAR(10)&amp;PATIENT_PLANNER!H81,""))</f>
        <v>8:30
Σκαρώνης</v>
      </c>
      <c r="E81" s="15" t="str">
        <f>IF(PATIENT_PLANNER!I81="","",IF(ISNUMBER(PATIENT_PLANNER!I81),TEXT(PATIENT_PLANNER!I81,"ω:λλ"),PATIENT_PLANNER!I81)&amp;IF(OR(PATIENT_PLANNER!J81="",ISNUMBER(SEARCH("Καθ",PATIENT_PLANNER!J81))),"",
" ("&amp;PATIENT_PLANNER!J81&amp;")")&amp;IF(PATIENT_PLANNER!K81&lt;&gt;"",CHAR(10)&amp;PATIENT_PLANNER!K81,""))</f>
        <v/>
      </c>
      <c r="F81" s="16" t="str">
        <f>IF(PATIENT_PLANNER!N81="","",PATIENT_PLANNER!N81&amp;IF(OR(PATIENT_PLANNER!O81="",ISNUMBER(SEARCH("Καθ",PATIENT_PLANNER!O81))),""," ("&amp;PATIENT_PLANNER!O81&amp;")"))</f>
        <v/>
      </c>
      <c r="G81" s="16" t="str">
        <f>IF(PATIENT_PLANNER!L81="","",PATIENT_PLANNER!L81&amp;IF(OR(PATIENT_PLANNER!M81="",ISNUMBER(SEARCH("Καθ",PATIENT_PLANNER!M81))),""," ("&amp;PATIENT_PLANNER!M81&amp;")"))</f>
        <v/>
      </c>
      <c r="H81" s="17" t="str">
        <f>IF(PATIENT_PLANNER!P81="","",PATIENT_PLANNER!P81&amp;IF(OR(PATIENT_PLANNER!Q81="",ISNUMBER(SEARCH("Καθ",PATIENT_PLANNER!Q81))),""," ("&amp;PATIENT_PLANNER!Q81&amp;")"))</f>
        <v>9:15 (Τρ-Πε)</v>
      </c>
      <c r="I81" s="18" t="str">
        <f>IF(PATIENT_PLANNER!R81="","",PATIENT_PLANNER!R81&amp;IF(OR(PATIENT_PLANNER!S81="",ISNUMBER(SEARCH("Καθ",PATIENT_PLANNER!S81))),""," ("&amp;PATIENT_PLANNER!S81&amp;")"))</f>
        <v/>
      </c>
      <c r="J81" s="19" t="str">
        <f>IF(PATIENT_PLANNER!T81="","",PATIENT_PLANNER!T81&amp;IF(OR(PATIENT_PLANNER!U81="",ISNUMBER(SEARCH("Καθ",PATIENT_PLANNER!U81))),""," ("&amp;PATIENT_PLANNER!U81&amp;")"))</f>
        <v/>
      </c>
      <c r="K81" s="14" t="str">
        <f>PATIENT_PLANNER!E81</f>
        <v>παρών</v>
      </c>
    </row>
    <row r="82" spans="1:11" ht="34.049999999999997" customHeight="1" x14ac:dyDescent="0.3">
      <c r="A82" s="14" t="str">
        <f>PATIENT_PLANNER!D82</f>
        <v>Ο</v>
      </c>
      <c r="B82" s="65" t="str">
        <f>PATIENT_PLANNER!B82</f>
        <v>B14</v>
      </c>
      <c r="C82" s="66" t="str">
        <f>PATIENT_PLANNER!C82</f>
        <v>ΤΣΙΑΜΑΣΦΙΡΟΥ</v>
      </c>
      <c r="D82" s="55" t="str">
        <f>IF(PATIENT_PLANNER!F82="","",IF(ISNUMBER(PATIENT_PLANNER!F82),TEXT(PATIENT_PLANNER!F82,"ω:λλ"),PATIENT_PLANNER!F82)&amp;IF(OR(PATIENT_PLANNER!G82="",ISNUMBER(SEARCH("Καθ",PATIENT_PLANNER!G82))),"",
" ("&amp;PATIENT_PLANNER!G82&amp;")")&amp;IF(PATIENT_PLANNER!H82&lt;&gt;"",CHAR(10)&amp;PATIENT_PLANNER!H82,""))</f>
        <v>11:30
Μηλιδάκης</v>
      </c>
      <c r="E82" s="15" t="str">
        <f>IF(PATIENT_PLANNER!I82="","",IF(ISNUMBER(PATIENT_PLANNER!I82),TEXT(PATIENT_PLANNER!I82,"ω:λλ"),PATIENT_PLANNER!I82)&amp;IF(OR(PATIENT_PLANNER!J82="",ISNUMBER(SEARCH("Καθ",PATIENT_PLANNER!J82))),"",
" ("&amp;PATIENT_PLANNER!J82&amp;")")&amp;IF(PATIENT_PLANNER!K82&lt;&gt;"",CHAR(10)&amp;PATIENT_PLANNER!K82,""))</f>
        <v/>
      </c>
      <c r="F82" s="16" t="str">
        <f>IF(PATIENT_PLANNER!N82="","",PATIENT_PLANNER!N82&amp;IF(OR(PATIENT_PLANNER!O82="",ISNUMBER(SEARCH("Καθ",PATIENT_PLANNER!O82))),""," ("&amp;PATIENT_PLANNER!O82&amp;")"))</f>
        <v/>
      </c>
      <c r="G82" s="16" t="str">
        <f>IF(PATIENT_PLANNER!L82="","",PATIENT_PLANNER!L82&amp;IF(OR(PATIENT_PLANNER!M82="",ISNUMBER(SEARCH("Καθ",PATIENT_PLANNER!M82))),""," ("&amp;PATIENT_PLANNER!M82&amp;")"))</f>
        <v/>
      </c>
      <c r="H82" s="17" t="str">
        <f>IF(PATIENT_PLANNER!P82="","",PATIENT_PLANNER!P82&amp;IF(OR(PATIENT_PLANNER!Q82="",ISNUMBER(SEARCH("Καθ",PATIENT_PLANNER!Q82))),""," ("&amp;PATIENT_PLANNER!Q82&amp;")"))</f>
        <v>12:15 (Τρ-Πε)</v>
      </c>
      <c r="I82" s="18" t="str">
        <f>IF(PATIENT_PLANNER!R82="","",PATIENT_PLANNER!R82&amp;IF(OR(PATIENT_PLANNER!S82="",ISNUMBER(SEARCH("Καθ",PATIENT_PLANNER!S82))),""," ("&amp;PATIENT_PLANNER!S82&amp;")"))</f>
        <v/>
      </c>
      <c r="J82" s="19" t="str">
        <f>IF(PATIENT_PLANNER!T82="","",PATIENT_PLANNER!T82&amp;IF(OR(PATIENT_PLANNER!U82="",ISNUMBER(SEARCH("Καθ",PATIENT_PLANNER!U82))),""," ("&amp;PATIENT_PLANNER!U82&amp;")"))</f>
        <v/>
      </c>
      <c r="K82" s="14" t="str">
        <f>PATIENT_PLANNER!E82</f>
        <v>παρών</v>
      </c>
    </row>
    <row r="83" spans="1:11" ht="34.049999999999997" customHeight="1" x14ac:dyDescent="0.3">
      <c r="A83" s="14" t="str">
        <f>PATIENT_PLANNER!D83</f>
        <v/>
      </c>
      <c r="B83" s="65" t="str">
        <f>PATIENT_PLANNER!B83</f>
        <v/>
      </c>
      <c r="C83" s="66" t="str">
        <f>PATIENT_PLANNER!C83</f>
        <v/>
      </c>
      <c r="D83" s="55" t="str">
        <f>IF(PATIENT_PLANNER!F83="","",IF(ISNUMBER(PATIENT_PLANNER!F83),TEXT(PATIENT_PLANNER!F83,"ω:λλ"),PATIENT_PLANNER!F83)&amp;IF(OR(PATIENT_PLANNER!G83="",ISNUMBER(SEARCH("Καθ",PATIENT_PLANNER!G83))),"",
" ("&amp;PATIENT_PLANNER!G83&amp;")")&amp;IF(PATIENT_PLANNER!H83&lt;&gt;"",CHAR(10)&amp;PATIENT_PLANNER!H83,""))</f>
        <v/>
      </c>
      <c r="E83" s="15" t="str">
        <f>IF(PATIENT_PLANNER!I83="","",IF(ISNUMBER(PATIENT_PLANNER!I83),TEXT(PATIENT_PLANNER!I83,"ω:λλ"),PATIENT_PLANNER!I83)&amp;IF(OR(PATIENT_PLANNER!J83="",ISNUMBER(SEARCH("Καθ",PATIENT_PLANNER!J83))),"",
" ("&amp;PATIENT_PLANNER!J83&amp;")")&amp;IF(PATIENT_PLANNER!K83&lt;&gt;"",CHAR(10)&amp;PATIENT_PLANNER!K83,""))</f>
        <v/>
      </c>
      <c r="F83" s="16" t="str">
        <f>IF(PATIENT_PLANNER!N83="","",PATIENT_PLANNER!N83&amp;IF(OR(PATIENT_PLANNER!O83="",ISNUMBER(SEARCH("Καθ",PATIENT_PLANNER!O83))),""," ("&amp;PATIENT_PLANNER!O83&amp;")"))</f>
        <v/>
      </c>
      <c r="G83" s="16" t="str">
        <f>IF(PATIENT_PLANNER!L83="","",PATIENT_PLANNER!L83&amp;IF(OR(PATIENT_PLANNER!M83="",ISNUMBER(SEARCH("Καθ",PATIENT_PLANNER!M83))),""," ("&amp;PATIENT_PLANNER!M83&amp;")"))</f>
        <v/>
      </c>
      <c r="H83" s="17" t="str">
        <f>IF(PATIENT_PLANNER!P83="","",PATIENT_PLANNER!P83&amp;IF(OR(PATIENT_PLANNER!Q83="",ISNUMBER(SEARCH("Καθ",PATIENT_PLANNER!Q83))),""," ("&amp;PATIENT_PLANNER!Q83&amp;")"))</f>
        <v/>
      </c>
      <c r="I83" s="18" t="str">
        <f>IF(PATIENT_PLANNER!R83="","",PATIENT_PLANNER!R83&amp;IF(OR(PATIENT_PLANNER!S83="",ISNUMBER(SEARCH("Καθ",PATIENT_PLANNER!S83))),""," ("&amp;PATIENT_PLANNER!S83&amp;")"))</f>
        <v/>
      </c>
      <c r="J83" s="19" t="str">
        <f>IF(PATIENT_PLANNER!T83="","",PATIENT_PLANNER!T83&amp;IF(OR(PATIENT_PLANNER!U83="",ISNUMBER(SEARCH("Καθ",PATIENT_PLANNER!U83))),""," ("&amp;PATIENT_PLANNER!U83&amp;")"))</f>
        <v/>
      </c>
      <c r="K83" s="14" t="str">
        <f>PATIENT_PLANNER!E83</f>
        <v/>
      </c>
    </row>
    <row r="84" spans="1:11" ht="34.049999999999997" customHeight="1" x14ac:dyDescent="0.3">
      <c r="A84" s="14" t="str">
        <f>PATIENT_PLANNER!D84</f>
        <v>Ο</v>
      </c>
      <c r="B84" s="65" t="str">
        <f>PATIENT_PLANNER!B84</f>
        <v>B15</v>
      </c>
      <c r="C84" s="66" t="str">
        <f>PATIENT_PLANNER!C84</f>
        <v>ΚΕΣΕΚΙΔΟΥ</v>
      </c>
      <c r="D84" s="55" t="str">
        <f>IF(PATIENT_PLANNER!F84="","",IF(ISNUMBER(PATIENT_PLANNER!F84),TEXT(PATIENT_PLANNER!F84,"ω:λλ"),PATIENT_PLANNER!F84)&amp;IF(OR(PATIENT_PLANNER!G84="",ISNUMBER(SEARCH("Καθ",PATIENT_PLANNER!G84))),"",
" ("&amp;PATIENT_PLANNER!G84&amp;")")&amp;IF(PATIENT_PLANNER!H84&lt;&gt;"",CHAR(10)&amp;PATIENT_PLANNER!H84,""))</f>
        <v>10:00
Σκαρώνης</v>
      </c>
      <c r="E84" s="15" t="str">
        <f>IF(PATIENT_PLANNER!I84="","",IF(ISNUMBER(PATIENT_PLANNER!I84),TEXT(PATIENT_PLANNER!I84,"ω:λλ"),PATIENT_PLANNER!I84)&amp;IF(OR(PATIENT_PLANNER!J84="",ISNUMBER(SEARCH("Καθ",PATIENT_PLANNER!J84))),"",
" ("&amp;PATIENT_PLANNER!J84&amp;")")&amp;IF(PATIENT_PLANNER!K84&lt;&gt;"",CHAR(10)&amp;PATIENT_PLANNER!K84,""))</f>
        <v/>
      </c>
      <c r="F84" s="16" t="str">
        <f>IF(PATIENT_PLANNER!N84="","",PATIENT_PLANNER!N84&amp;IF(OR(PATIENT_PLANNER!O84="",ISNUMBER(SEARCH("Καθ",PATIENT_PLANNER!O84))),""," ("&amp;PATIENT_PLANNER!O84&amp;")"))</f>
        <v/>
      </c>
      <c r="G84" s="16" t="str">
        <f>IF(PATIENT_PLANNER!L84="","",PATIENT_PLANNER!L84&amp;IF(OR(PATIENT_PLANNER!M84="",ISNUMBER(SEARCH("Καθ",PATIENT_PLANNER!M84))),""," ("&amp;PATIENT_PLANNER!M84&amp;")"))</f>
        <v/>
      </c>
      <c r="H84" s="17" t="str">
        <f>IF(PATIENT_PLANNER!P84="","",PATIENT_PLANNER!P84&amp;IF(OR(PATIENT_PLANNER!Q84="",ISNUMBER(SEARCH("Καθ",PATIENT_PLANNER!Q84))),""," ("&amp;PATIENT_PLANNER!Q84&amp;")"))</f>
        <v>10:45 (Τε-Πα)</v>
      </c>
      <c r="I84" s="18" t="str">
        <f>IF(PATIENT_PLANNER!R84="","",PATIENT_PLANNER!R84&amp;IF(OR(PATIENT_PLANNER!S84="",ISNUMBER(SEARCH("Καθ",PATIENT_PLANNER!S84))),""," ("&amp;PATIENT_PLANNER!S84&amp;")"))</f>
        <v/>
      </c>
      <c r="J84" s="19" t="str">
        <f>IF(PATIENT_PLANNER!T84="","",PATIENT_PLANNER!T84&amp;IF(OR(PATIENT_PLANNER!U84="",ISNUMBER(SEARCH("Καθ",PATIENT_PLANNER!U84))),""," ("&amp;PATIENT_PLANNER!U84&amp;")"))</f>
        <v/>
      </c>
      <c r="K84" s="14" t="str">
        <f>PATIENT_PLANNER!E84</f>
        <v>παρών</v>
      </c>
    </row>
    <row r="85" spans="1:11" ht="34.049999999999997" customHeight="1" x14ac:dyDescent="0.3">
      <c r="A85" s="14" t="str">
        <f>PATIENT_PLANNER!D85</f>
        <v/>
      </c>
      <c r="B85" s="65" t="str">
        <f>PATIENT_PLANNER!B85</f>
        <v/>
      </c>
      <c r="C85" s="66" t="str">
        <f>PATIENT_PLANNER!C85</f>
        <v/>
      </c>
      <c r="D85" s="55" t="str">
        <f>IF(PATIENT_PLANNER!F85="","",IF(ISNUMBER(PATIENT_PLANNER!F85),TEXT(PATIENT_PLANNER!F85,"ω:λλ"),PATIENT_PLANNER!F85)&amp;IF(OR(PATIENT_PLANNER!G85="",ISNUMBER(SEARCH("Καθ",PATIENT_PLANNER!G85))),"",
" ("&amp;PATIENT_PLANNER!G85&amp;")")&amp;IF(PATIENT_PLANNER!H85&lt;&gt;"",CHAR(10)&amp;PATIENT_PLANNER!H85,""))</f>
        <v/>
      </c>
      <c r="E85" s="15" t="str">
        <f>IF(PATIENT_PLANNER!I85="","",IF(ISNUMBER(PATIENT_PLANNER!I85),TEXT(PATIENT_PLANNER!I85,"ω:λλ"),PATIENT_PLANNER!I85)&amp;IF(OR(PATIENT_PLANNER!J85="",ISNUMBER(SEARCH("Καθ",PATIENT_PLANNER!J85))),"",
" ("&amp;PATIENT_PLANNER!J85&amp;")")&amp;IF(PATIENT_PLANNER!K85&lt;&gt;"",CHAR(10)&amp;PATIENT_PLANNER!K85,""))</f>
        <v/>
      </c>
      <c r="F85" s="16" t="str">
        <f>IF(PATIENT_PLANNER!N85="","",PATIENT_PLANNER!N85&amp;IF(OR(PATIENT_PLANNER!O85="",ISNUMBER(SEARCH("Καθ",PATIENT_PLANNER!O85))),""," ("&amp;PATIENT_PLANNER!O85&amp;")"))</f>
        <v/>
      </c>
      <c r="G85" s="16" t="str">
        <f>IF(PATIENT_PLANNER!L85="","",PATIENT_PLANNER!L85&amp;IF(OR(PATIENT_PLANNER!M85="",ISNUMBER(SEARCH("Καθ",PATIENT_PLANNER!M85))),""," ("&amp;PATIENT_PLANNER!M85&amp;")"))</f>
        <v/>
      </c>
      <c r="H85" s="17" t="str">
        <f>IF(PATIENT_PLANNER!P85="","",PATIENT_PLANNER!P85&amp;IF(OR(PATIENT_PLANNER!Q85="",ISNUMBER(SEARCH("Καθ",PATIENT_PLANNER!Q85))),""," ("&amp;PATIENT_PLANNER!Q85&amp;")"))</f>
        <v/>
      </c>
      <c r="I85" s="18" t="str">
        <f>IF(PATIENT_PLANNER!R85="","",PATIENT_PLANNER!R85&amp;IF(OR(PATIENT_PLANNER!S85="",ISNUMBER(SEARCH("Καθ",PATIENT_PLANNER!S85))),""," ("&amp;PATIENT_PLANNER!S85&amp;")"))</f>
        <v/>
      </c>
      <c r="J85" s="19" t="str">
        <f>IF(PATIENT_PLANNER!T85="","",PATIENT_PLANNER!T85&amp;IF(OR(PATIENT_PLANNER!U85="",ISNUMBER(SEARCH("Καθ",PATIENT_PLANNER!U85))),""," ("&amp;PATIENT_PLANNER!U85&amp;")"))</f>
        <v/>
      </c>
      <c r="K85" s="14" t="str">
        <f>PATIENT_PLANNER!E85</f>
        <v/>
      </c>
    </row>
    <row r="86" spans="1:11" ht="34.049999999999997" customHeight="1" x14ac:dyDescent="0.3">
      <c r="A86" s="14" t="str">
        <f>PATIENT_PLANNER!D86</f>
        <v>Ο</v>
      </c>
      <c r="B86" s="65" t="str">
        <f>PATIENT_PLANNER!B86</f>
        <v>A04</v>
      </c>
      <c r="C86" s="66" t="str">
        <f>PATIENT_PLANNER!C86</f>
        <v>ΓΚΑΛΜΑΝΗ</v>
      </c>
      <c r="D86" s="55" t="str">
        <f>IF(PATIENT_PLANNER!F86="","",IF(ISNUMBER(PATIENT_PLANNER!F86),TEXT(PATIENT_PLANNER!F86,"ω:λλ"),PATIENT_PLANNER!F86)&amp;IF(OR(PATIENT_PLANNER!G86="",ISNUMBER(SEARCH("Καθ",PATIENT_PLANNER!G86))),"",
" ("&amp;PATIENT_PLANNER!G86&amp;")")&amp;IF(PATIENT_PLANNER!H86&lt;&gt;"",CHAR(10)&amp;PATIENT_PLANNER!H86,""))</f>
        <v>8:30
Φιλιππούσης</v>
      </c>
      <c r="E86" s="15" t="str">
        <f>IF(PATIENT_PLANNER!I86="","",IF(ISNUMBER(PATIENT_PLANNER!I86),TEXT(PATIENT_PLANNER!I86,"ω:λλ"),PATIENT_PLANNER!I86)&amp;IF(OR(PATIENT_PLANNER!J86="",ISNUMBER(SEARCH("Καθ",PATIENT_PLANNER!J86))),"",
" ("&amp;PATIENT_PLANNER!J86&amp;")")&amp;IF(PATIENT_PLANNER!K86&lt;&gt;"",CHAR(10)&amp;PATIENT_PLANNER!K86,""))</f>
        <v/>
      </c>
      <c r="F86" s="16" t="str">
        <f>IF(PATIENT_PLANNER!N86="","",PATIENT_PLANNER!N86&amp;IF(OR(PATIENT_PLANNER!O86="",ISNUMBER(SEARCH("Καθ",PATIENT_PLANNER!O86))),""," ("&amp;PATIENT_PLANNER!O86&amp;")"))</f>
        <v/>
      </c>
      <c r="G86" s="16" t="str">
        <f>IF(PATIENT_PLANNER!L86="","",PATIENT_PLANNER!L86&amp;IF(OR(PATIENT_PLANNER!M86="",ISNUMBER(SEARCH("Καθ",PATIENT_PLANNER!M86))),""," ("&amp;PATIENT_PLANNER!M86&amp;")"))</f>
        <v/>
      </c>
      <c r="H86" s="17" t="str">
        <f>IF(PATIENT_PLANNER!P86="","",PATIENT_PLANNER!P86&amp;IF(OR(PATIENT_PLANNER!Q86="",ISNUMBER(SEARCH("Καθ",PATIENT_PLANNER!Q86))),""," ("&amp;PATIENT_PLANNER!Q86&amp;")"))</f>
        <v/>
      </c>
      <c r="I86" s="18" t="str">
        <f>IF(PATIENT_PLANNER!R86="","",PATIENT_PLANNER!R86&amp;IF(OR(PATIENT_PLANNER!S86="",ISNUMBER(SEARCH("Καθ",PATIENT_PLANNER!S86))),""," ("&amp;PATIENT_PLANNER!S86&amp;")"))</f>
        <v/>
      </c>
      <c r="J86" s="19" t="str">
        <f>IF(PATIENT_PLANNER!T86="","",PATIENT_PLANNER!T86&amp;IF(OR(PATIENT_PLANNER!U86="",ISNUMBER(SEARCH("Καθ",PATIENT_PLANNER!U86))),""," ("&amp;PATIENT_PLANNER!U86&amp;")"))</f>
        <v/>
      </c>
      <c r="K86" s="14" t="str">
        <f>PATIENT_PLANNER!E86</f>
        <v>παρών</v>
      </c>
    </row>
    <row r="87" spans="1:11" ht="34.049999999999997" customHeight="1" x14ac:dyDescent="0.3">
      <c r="A87" s="14" t="str">
        <f>PATIENT_PLANNER!D87</f>
        <v>Ο</v>
      </c>
      <c r="B87" s="65" t="str">
        <f>PATIENT_PLANNER!B87</f>
        <v>A05</v>
      </c>
      <c r="C87" s="66" t="str">
        <f>PATIENT_PLANNER!C87</f>
        <v>ΧΡΗΣΤΑΚΟΥ</v>
      </c>
      <c r="D87" s="55" t="str">
        <f>IF(PATIENT_PLANNER!F87="","",IF(ISNUMBER(PATIENT_PLANNER!F87),TEXT(PATIENT_PLANNER!F87,"ω:λλ"),PATIENT_PLANNER!F87)&amp;IF(OR(PATIENT_PLANNER!G87="",ISNUMBER(SEARCH("Καθ",PATIENT_PLANNER!G87))),"",
" ("&amp;PATIENT_PLANNER!G87&amp;")")&amp;IF(PATIENT_PLANNER!H87&lt;&gt;"",CHAR(10)&amp;PATIENT_PLANNER!H87,""))</f>
        <v>8:30
Καλυβιώτης</v>
      </c>
      <c r="E87" s="15" t="str">
        <f>IF(PATIENT_PLANNER!I87="","",IF(ISNUMBER(PATIENT_PLANNER!I87),TEXT(PATIENT_PLANNER!I87,"ω:λλ"),PATIENT_PLANNER!I87)&amp;IF(OR(PATIENT_PLANNER!J87="",ISNUMBER(SEARCH("Καθ",PATIENT_PLANNER!J87))),"",
" ("&amp;PATIENT_PLANNER!J87&amp;")")&amp;IF(PATIENT_PLANNER!K87&lt;&gt;"",CHAR(10)&amp;PATIENT_PLANNER!K87,""))</f>
        <v/>
      </c>
      <c r="F87" s="16" t="str">
        <f>IF(PATIENT_PLANNER!N87="","",PATIENT_PLANNER!N87&amp;IF(OR(PATIENT_PLANNER!O87="",ISNUMBER(SEARCH("Καθ",PATIENT_PLANNER!O87))),""," ("&amp;PATIENT_PLANNER!O87&amp;")"))</f>
        <v/>
      </c>
      <c r="G87" s="16" t="str">
        <f>IF(PATIENT_PLANNER!L87="","",PATIENT_PLANNER!L87&amp;IF(OR(PATIENT_PLANNER!M87="",ISNUMBER(SEARCH("Καθ",PATIENT_PLANNER!M87))),""," ("&amp;PATIENT_PLANNER!M87&amp;")"))</f>
        <v/>
      </c>
      <c r="H87" s="17" t="str">
        <f>IF(PATIENT_PLANNER!P87="","",PATIENT_PLANNER!P87&amp;IF(OR(PATIENT_PLANNER!Q87="",ISNUMBER(SEARCH("Καθ",PATIENT_PLANNER!Q87))),""," ("&amp;PATIENT_PLANNER!Q87&amp;")"))</f>
        <v/>
      </c>
      <c r="I87" s="18" t="str">
        <f>IF(PATIENT_PLANNER!R87="","",PATIENT_PLANNER!R87&amp;IF(OR(PATIENT_PLANNER!S87="",ISNUMBER(SEARCH("Καθ",PATIENT_PLANNER!S87))),""," ("&amp;PATIENT_PLANNER!S87&amp;")"))</f>
        <v/>
      </c>
      <c r="J87" s="19" t="str">
        <f>IF(PATIENT_PLANNER!T87="","",PATIENT_PLANNER!T87&amp;IF(OR(PATIENT_PLANNER!U87="",ISNUMBER(SEARCH("Καθ",PATIENT_PLANNER!U87))),""," ("&amp;PATIENT_PLANNER!U87&amp;")"))</f>
        <v/>
      </c>
      <c r="K87" s="14" t="str">
        <f>PATIENT_PLANNER!E87</f>
        <v>παρών</v>
      </c>
    </row>
    <row r="88" spans="1:11" ht="34.049999999999997" customHeight="1" x14ac:dyDescent="0.3">
      <c r="A88" s="14" t="str">
        <f>PATIENT_PLANNER!D88</f>
        <v>Ο</v>
      </c>
      <c r="B88" s="65" t="str">
        <f>PATIENT_PLANNER!B88</f>
        <v>A05</v>
      </c>
      <c r="C88" s="66" t="str">
        <f>PATIENT_PLANNER!C88</f>
        <v>ΓΕΩΡΓΙΟΥ Μ</v>
      </c>
      <c r="D88" s="55" t="str">
        <f>IF(PATIENT_PLANNER!F88="","",IF(ISNUMBER(PATIENT_PLANNER!F88),TEXT(PATIENT_PLANNER!F88,"ω:λλ"),PATIENT_PLANNER!F88)&amp;IF(OR(PATIENT_PLANNER!G88="",ISNUMBER(SEARCH("Καθ",PATIENT_PLANNER!G88))),"",
" ("&amp;PATIENT_PLANNER!G88&amp;")")&amp;IF(PATIENT_PLANNER!H88&lt;&gt;"",CHAR(10)&amp;PATIENT_PLANNER!H88,""))</f>
        <v>10:00
Καλυβιώτης</v>
      </c>
      <c r="E88" s="15" t="str">
        <f>IF(PATIENT_PLANNER!I88="","",IF(ISNUMBER(PATIENT_PLANNER!I88),TEXT(PATIENT_PLANNER!I88,"ω:λλ"),PATIENT_PLANNER!I88)&amp;IF(OR(PATIENT_PLANNER!J88="",ISNUMBER(SEARCH("Καθ",PATIENT_PLANNER!J88))),"",
" ("&amp;PATIENT_PLANNER!J88&amp;")")&amp;IF(PATIENT_PLANNER!K88&lt;&gt;"",CHAR(10)&amp;PATIENT_PLANNER!K88,""))</f>
        <v/>
      </c>
      <c r="F88" s="16" t="str">
        <f>IF(PATIENT_PLANNER!N88="","",PATIENT_PLANNER!N88&amp;IF(OR(PATIENT_PLANNER!O88="",ISNUMBER(SEARCH("Καθ",PATIENT_PLANNER!O88))),""," ("&amp;PATIENT_PLANNER!O88&amp;")"))</f>
        <v/>
      </c>
      <c r="G88" s="16" t="str">
        <f>IF(PATIENT_PLANNER!L88="","",PATIENT_PLANNER!L88&amp;IF(OR(PATIENT_PLANNER!M88="",ISNUMBER(SEARCH("Καθ",PATIENT_PLANNER!M88))),""," ("&amp;PATIENT_PLANNER!M88&amp;")"))</f>
        <v/>
      </c>
      <c r="H88" s="17" t="str">
        <f>IF(PATIENT_PLANNER!P88="","",PATIENT_PLANNER!P88&amp;IF(OR(PATIENT_PLANNER!Q88="",ISNUMBER(SEARCH("Καθ",PATIENT_PLANNER!Q88))),""," ("&amp;PATIENT_PLANNER!Q88&amp;")"))</f>
        <v/>
      </c>
      <c r="I88" s="18" t="str">
        <f>IF(PATIENT_PLANNER!R88="","",PATIENT_PLANNER!R88&amp;IF(OR(PATIENT_PLANNER!S88="",ISNUMBER(SEARCH("Καθ",PATIENT_PLANNER!S88))),""," ("&amp;PATIENT_PLANNER!S88&amp;")"))</f>
        <v/>
      </c>
      <c r="J88" s="19" t="str">
        <f>IF(PATIENT_PLANNER!T88="","",PATIENT_PLANNER!T88&amp;IF(OR(PATIENT_PLANNER!U88="",ISNUMBER(SEARCH("Καθ",PATIENT_PLANNER!U88))),""," ("&amp;PATIENT_PLANNER!U88&amp;")"))</f>
        <v/>
      </c>
      <c r="K88" s="14" t="str">
        <f>PATIENT_PLANNER!E88</f>
        <v>παρών</v>
      </c>
    </row>
    <row r="89" spans="1:11" ht="34.049999999999997" customHeight="1" x14ac:dyDescent="0.3">
      <c r="A89" s="14" t="str">
        <f>PATIENT_PLANNER!D89</f>
        <v>Ο</v>
      </c>
      <c r="B89" s="65" t="str">
        <f>PATIENT_PLANNER!B89</f>
        <v>A15</v>
      </c>
      <c r="C89" s="66" t="str">
        <f>PATIENT_PLANNER!C89</f>
        <v>ΣΠΥΡΟΠΟΥΛΟΣ</v>
      </c>
      <c r="D89" s="55" t="str">
        <f>IF(PATIENT_PLANNER!F89="","",IF(ISNUMBER(PATIENT_PLANNER!F89),TEXT(PATIENT_PLANNER!F89,"ω:λλ"),PATIENT_PLANNER!F89)&amp;IF(OR(PATIENT_PLANNER!G89="",ISNUMBER(SEARCH("Καθ",PATIENT_PLANNER!G89))),"",
" ("&amp;PATIENT_PLANNER!G89&amp;")")&amp;IF(PATIENT_PLANNER!H89&lt;&gt;"",CHAR(10)&amp;PATIENT_PLANNER!H89,""))</f>
        <v>8:30
Παπακίτσου</v>
      </c>
      <c r="E89" s="15" t="str">
        <f>IF(PATIENT_PLANNER!I89="","",IF(ISNUMBER(PATIENT_PLANNER!I89),TEXT(PATIENT_PLANNER!I89,"ω:λλ"),PATIENT_PLANNER!I89)&amp;IF(OR(PATIENT_PLANNER!J89="",ISNUMBER(SEARCH("Καθ",PATIENT_PLANNER!J89))),"",
" ("&amp;PATIENT_PLANNER!J89&amp;")")&amp;IF(PATIENT_PLANNER!K89&lt;&gt;"",CHAR(10)&amp;PATIENT_PLANNER!K89,""))</f>
        <v/>
      </c>
      <c r="F89" s="16" t="str">
        <f>IF(PATIENT_PLANNER!N89="","",PATIENT_PLANNER!N89&amp;IF(OR(PATIENT_PLANNER!O89="",ISNUMBER(SEARCH("Καθ",PATIENT_PLANNER!O89))),""," ("&amp;PATIENT_PLANNER!O89&amp;")"))</f>
        <v/>
      </c>
      <c r="G89" s="16" t="str">
        <f>IF(PATIENT_PLANNER!L89="","",PATIENT_PLANNER!L89&amp;IF(OR(PATIENT_PLANNER!M89="",ISNUMBER(SEARCH("Καθ",PATIENT_PLANNER!M89))),""," ("&amp;PATIENT_PLANNER!M89&amp;")"))</f>
        <v/>
      </c>
      <c r="H89" s="17" t="str">
        <f>IF(PATIENT_PLANNER!P89="","",PATIENT_PLANNER!P89&amp;IF(OR(PATIENT_PLANNER!Q89="",ISNUMBER(SEARCH("Καθ",PATIENT_PLANNER!Q89))),""," ("&amp;PATIENT_PLANNER!Q89&amp;")"))</f>
        <v/>
      </c>
      <c r="I89" s="18" t="str">
        <f>IF(PATIENT_PLANNER!R89="","",PATIENT_PLANNER!R89&amp;IF(OR(PATIENT_PLANNER!S89="",ISNUMBER(SEARCH("Καθ",PATIENT_PLANNER!S89))),""," ("&amp;PATIENT_PLANNER!S89&amp;")"))</f>
        <v/>
      </c>
      <c r="J89" s="19" t="str">
        <f>IF(PATIENT_PLANNER!T89="","",PATIENT_PLANNER!T89&amp;IF(OR(PATIENT_PLANNER!U89="",ISNUMBER(SEARCH("Καθ",PATIENT_PLANNER!U89))),""," ("&amp;PATIENT_PLANNER!U89&amp;")"))</f>
        <v/>
      </c>
      <c r="K89" s="14" t="str">
        <f>PATIENT_PLANNER!E89</f>
        <v>παρών</v>
      </c>
    </row>
    <row r="90" spans="1:11" ht="34.049999999999997" customHeight="1" x14ac:dyDescent="0.3">
      <c r="A90" s="14" t="str">
        <f>PATIENT_PLANNER!D90</f>
        <v>Ο</v>
      </c>
      <c r="B90" s="65" t="str">
        <f>PATIENT_PLANNER!B90</f>
        <v>A15</v>
      </c>
      <c r="C90" s="66" t="str">
        <f>PATIENT_PLANNER!C90</f>
        <v>ΚΑΦΕΤΖΗΣ</v>
      </c>
      <c r="D90" s="55" t="str">
        <f>IF(PATIENT_PLANNER!F90="","",IF(ISNUMBER(PATIENT_PLANNER!F90),TEXT(PATIENT_PLANNER!F90,"ω:λλ"),PATIENT_PLANNER!F90)&amp;IF(OR(PATIENT_PLANNER!G90="",ISNUMBER(SEARCH("Καθ",PATIENT_PLANNER!G90))),"",
" ("&amp;PATIENT_PLANNER!G90&amp;")")&amp;IF(PATIENT_PLANNER!H90&lt;&gt;"",CHAR(10)&amp;PATIENT_PLANNER!H90,""))</f>
        <v>9:15
Φιλιππούσης</v>
      </c>
      <c r="E90" s="15" t="str">
        <f>IF(PATIENT_PLANNER!I90="","",IF(ISNUMBER(PATIENT_PLANNER!I90),TEXT(PATIENT_PLANNER!I90,"ω:λλ"),PATIENT_PLANNER!I90)&amp;IF(OR(PATIENT_PLANNER!J90="",ISNUMBER(SEARCH("Καθ",PATIENT_PLANNER!J90))),"",
" ("&amp;PATIENT_PLANNER!J90&amp;")")&amp;IF(PATIENT_PLANNER!K90&lt;&gt;"",CHAR(10)&amp;PATIENT_PLANNER!K90,""))</f>
        <v/>
      </c>
      <c r="F90" s="16" t="str">
        <f>IF(PATIENT_PLANNER!N90="","",PATIENT_PLANNER!N90&amp;IF(OR(PATIENT_PLANNER!O90="",ISNUMBER(SEARCH("Καθ",PATIENT_PLANNER!O90))),""," ("&amp;PATIENT_PLANNER!O90&amp;")"))</f>
        <v/>
      </c>
      <c r="G90" s="16" t="str">
        <f>IF(PATIENT_PLANNER!L90="","",PATIENT_PLANNER!L90&amp;IF(OR(PATIENT_PLANNER!M90="",ISNUMBER(SEARCH("Καθ",PATIENT_PLANNER!M90))),""," ("&amp;PATIENT_PLANNER!M90&amp;")"))</f>
        <v/>
      </c>
      <c r="H90" s="17" t="str">
        <f>IF(PATIENT_PLANNER!P90="","",PATIENT_PLANNER!P90&amp;IF(OR(PATIENT_PLANNER!Q90="",ISNUMBER(SEARCH("Καθ",PATIENT_PLANNER!Q90))),""," ("&amp;PATIENT_PLANNER!Q90&amp;")"))</f>
        <v/>
      </c>
      <c r="I90" s="18" t="str">
        <f>IF(PATIENT_PLANNER!R90="","",PATIENT_PLANNER!R90&amp;IF(OR(PATIENT_PLANNER!S90="",ISNUMBER(SEARCH("Καθ",PATIENT_PLANNER!S90))),""," ("&amp;PATIENT_PLANNER!S90&amp;")"))</f>
        <v/>
      </c>
      <c r="J90" s="19" t="str">
        <f>IF(PATIENT_PLANNER!T90="","",PATIENT_PLANNER!T90&amp;IF(OR(PATIENT_PLANNER!U90="",ISNUMBER(SEARCH("Καθ",PATIENT_PLANNER!U90))),""," ("&amp;PATIENT_PLANNER!U90&amp;")"))</f>
        <v/>
      </c>
      <c r="K90" s="14" t="str">
        <f>PATIENT_PLANNER!E90</f>
        <v>παρών</v>
      </c>
    </row>
    <row r="91" spans="1:11" ht="34.049999999999997" customHeight="1" x14ac:dyDescent="0.3">
      <c r="A91" s="14" t="str">
        <f>PATIENT_PLANNER!D91</f>
        <v>Ο</v>
      </c>
      <c r="B91" s="65" t="str">
        <f>PATIENT_PLANNER!B91</f>
        <v>B02</v>
      </c>
      <c r="C91" s="66" t="str">
        <f>PATIENT_PLANNER!C91</f>
        <v>ΠΑΠΑΓΕΩΡΓΙΟΥ</v>
      </c>
      <c r="D91" s="55" t="str">
        <f>IF(PATIENT_PLANNER!F91="","",IF(ISNUMBER(PATIENT_PLANNER!F91),TEXT(PATIENT_PLANNER!F91,"ω:λλ"),PATIENT_PLANNER!F91)&amp;IF(OR(PATIENT_PLANNER!G91="",ISNUMBER(SEARCH("Καθ",PATIENT_PLANNER!G91))),"",
" ("&amp;PATIENT_PLANNER!G91&amp;")")&amp;IF(PATIENT_PLANNER!H91&lt;&gt;"",CHAR(10)&amp;PATIENT_PLANNER!H91,""))</f>
        <v>9:15
Χρήστου</v>
      </c>
      <c r="E91" s="15" t="str">
        <f>IF(PATIENT_PLANNER!I91="","",IF(ISNUMBER(PATIENT_PLANNER!I91),TEXT(PATIENT_PLANNER!I91,"ω:λλ"),PATIENT_PLANNER!I91)&amp;IF(OR(PATIENT_PLANNER!J91="",ISNUMBER(SEARCH("Καθ",PATIENT_PLANNER!J91))),"",
" ("&amp;PATIENT_PLANNER!J91&amp;")")&amp;IF(PATIENT_PLANNER!K91&lt;&gt;"",CHAR(10)&amp;PATIENT_PLANNER!K91,""))</f>
        <v/>
      </c>
      <c r="F91" s="16" t="str">
        <f>IF(PATIENT_PLANNER!N91="","",PATIENT_PLANNER!N91&amp;IF(OR(PATIENT_PLANNER!O91="",ISNUMBER(SEARCH("Καθ",PATIENT_PLANNER!O91))),""," ("&amp;PATIENT_PLANNER!O91&amp;")"))</f>
        <v/>
      </c>
      <c r="G91" s="16" t="str">
        <f>IF(PATIENT_PLANNER!L91="","",PATIENT_PLANNER!L91&amp;IF(OR(PATIENT_PLANNER!M91="",ISNUMBER(SEARCH("Καθ",PATIENT_PLANNER!M91))),""," ("&amp;PATIENT_PLANNER!M91&amp;")"))</f>
        <v/>
      </c>
      <c r="H91" s="17" t="str">
        <f>IF(PATIENT_PLANNER!P91="","",PATIENT_PLANNER!P91&amp;IF(OR(PATIENT_PLANNER!Q91="",ISNUMBER(SEARCH("Καθ",PATIENT_PLANNER!Q91))),""," ("&amp;PATIENT_PLANNER!Q91&amp;")"))</f>
        <v/>
      </c>
      <c r="I91" s="18" t="str">
        <f>IF(PATIENT_PLANNER!R91="","",PATIENT_PLANNER!R91&amp;IF(OR(PATIENT_PLANNER!S91="",ISNUMBER(SEARCH("Καθ",PATIENT_PLANNER!S91))),""," ("&amp;PATIENT_PLANNER!S91&amp;")"))</f>
        <v/>
      </c>
      <c r="J91" s="19" t="str">
        <f>IF(PATIENT_PLANNER!T91="","",PATIENT_PLANNER!T91&amp;IF(OR(PATIENT_PLANNER!U91="",ISNUMBER(SEARCH("Καθ",PATIENT_PLANNER!U91))),""," ("&amp;PATIENT_PLANNER!U91&amp;")"))</f>
        <v/>
      </c>
      <c r="K91" s="14" t="str">
        <f>PATIENT_PLANNER!E91</f>
        <v>παρών</v>
      </c>
    </row>
    <row r="92" spans="1:11" ht="34.049999999999997" customHeight="1" x14ac:dyDescent="0.3">
      <c r="A92" s="14" t="str">
        <f>PATIENT_PLANNER!D92</f>
        <v>Ο</v>
      </c>
      <c r="B92" s="65" t="str">
        <f>PATIENT_PLANNER!B92</f>
        <v>B03</v>
      </c>
      <c r="C92" s="66" t="str">
        <f>PATIENT_PLANNER!C92</f>
        <v>ΚΑΠΑΘΑΝΑΣΗ</v>
      </c>
      <c r="D92" s="55" t="str">
        <f>IF(PATIENT_PLANNER!F92="","",IF(ISNUMBER(PATIENT_PLANNER!F92),TEXT(PATIENT_PLANNER!F92,"ω:λλ"),PATIENT_PLANNER!F92)&amp;IF(OR(PATIENT_PLANNER!G92="",ISNUMBER(SEARCH("Καθ",PATIENT_PLANNER!G92))),"",
" ("&amp;PATIENT_PLANNER!G92&amp;")")&amp;IF(PATIENT_PLANNER!H92&lt;&gt;"",CHAR(10)&amp;PATIENT_PLANNER!H92,""))</f>
        <v>8:30
Βασιλειάδης</v>
      </c>
      <c r="E92" s="15" t="str">
        <f>IF(PATIENT_PLANNER!I92="","",IF(ISNUMBER(PATIENT_PLANNER!I92),TEXT(PATIENT_PLANNER!I92,"ω:λλ"),PATIENT_PLANNER!I92)&amp;IF(OR(PATIENT_PLANNER!J92="",ISNUMBER(SEARCH("Καθ",PATIENT_PLANNER!J92))),"",
" ("&amp;PATIENT_PLANNER!J92&amp;")")&amp;IF(PATIENT_PLANNER!K92&lt;&gt;"",CHAR(10)&amp;PATIENT_PLANNER!K92,""))</f>
        <v/>
      </c>
      <c r="F92" s="16" t="str">
        <f>IF(PATIENT_PLANNER!N92="","",PATIENT_PLANNER!N92&amp;IF(OR(PATIENT_PLANNER!O92="",ISNUMBER(SEARCH("Καθ",PATIENT_PLANNER!O92))),""," ("&amp;PATIENT_PLANNER!O92&amp;")"))</f>
        <v/>
      </c>
      <c r="G92" s="16" t="str">
        <f>IF(PATIENT_PLANNER!L92="","",PATIENT_PLANNER!L92&amp;IF(OR(PATIENT_PLANNER!M92="",ISNUMBER(SEARCH("Καθ",PATIENT_PLANNER!M92))),""," ("&amp;PATIENT_PLANNER!M92&amp;")"))</f>
        <v/>
      </c>
      <c r="H92" s="17" t="str">
        <f>IF(PATIENT_PLANNER!P92="","",PATIENT_PLANNER!P92&amp;IF(OR(PATIENT_PLANNER!Q92="",ISNUMBER(SEARCH("Καθ",PATIENT_PLANNER!Q92))),""," ("&amp;PATIENT_PLANNER!Q92&amp;")"))</f>
        <v/>
      </c>
      <c r="I92" s="18" t="str">
        <f>IF(PATIENT_PLANNER!R92="","",PATIENT_PLANNER!R92&amp;IF(OR(PATIENT_PLANNER!S92="",ISNUMBER(SEARCH("Καθ",PATIENT_PLANNER!S92))),""," ("&amp;PATIENT_PLANNER!S92&amp;")"))</f>
        <v/>
      </c>
      <c r="J92" s="19" t="str">
        <f>IF(PATIENT_PLANNER!T92="","",PATIENT_PLANNER!T92&amp;IF(OR(PATIENT_PLANNER!U92="",ISNUMBER(SEARCH("Καθ",PATIENT_PLANNER!U92))),""," ("&amp;PATIENT_PLANNER!U92&amp;")"))</f>
        <v/>
      </c>
      <c r="K92" s="14" t="str">
        <f>PATIENT_PLANNER!E92</f>
        <v>παρών</v>
      </c>
    </row>
    <row r="93" spans="1:11" ht="34.049999999999997" customHeight="1" x14ac:dyDescent="0.3">
      <c r="A93" s="14" t="str">
        <f>PATIENT_PLANNER!D93</f>
        <v>Ο</v>
      </c>
      <c r="B93" s="65" t="str">
        <f>PATIENT_PLANNER!B93</f>
        <v>B04</v>
      </c>
      <c r="C93" s="66" t="str">
        <f>PATIENT_PLANNER!C93</f>
        <v>ΧΑΤΖΗΑΝΑΣΤΑΣΙΟΥ</v>
      </c>
      <c r="D93" s="55" t="str">
        <f>IF(PATIENT_PLANNER!F93="","",IF(ISNUMBER(PATIENT_PLANNER!F93),TEXT(PATIENT_PLANNER!F93,"ω:λλ"),PATIENT_PLANNER!F93)&amp;IF(OR(PATIENT_PLANNER!G93="",ISNUMBER(SEARCH("Καθ",PATIENT_PLANNER!G93))),"",
" ("&amp;PATIENT_PLANNER!G93&amp;")")&amp;IF(PATIENT_PLANNER!H93&lt;&gt;"",CHAR(10)&amp;PATIENT_PLANNER!H93,""))</f>
        <v>11:30
Γαβράς</v>
      </c>
      <c r="E93" s="15" t="str">
        <f>IF(PATIENT_PLANNER!I93="","",IF(ISNUMBER(PATIENT_PLANNER!I93),TEXT(PATIENT_PLANNER!I93,"ω:λλ"),PATIENT_PLANNER!I93)&amp;IF(OR(PATIENT_PLANNER!J93="",ISNUMBER(SEARCH("Καθ",PATIENT_PLANNER!J93))),"",
" ("&amp;PATIENT_PLANNER!J93&amp;")")&amp;IF(PATIENT_PLANNER!K93&lt;&gt;"",CHAR(10)&amp;PATIENT_PLANNER!K93,""))</f>
        <v/>
      </c>
      <c r="F93" s="16" t="str">
        <f>IF(PATIENT_PLANNER!N93="","",PATIENT_PLANNER!N93&amp;IF(OR(PATIENT_PLANNER!O93="",ISNUMBER(SEARCH("Καθ",PATIENT_PLANNER!O93))),""," ("&amp;PATIENT_PLANNER!O93&amp;")"))</f>
        <v/>
      </c>
      <c r="G93" s="16" t="str">
        <f>IF(PATIENT_PLANNER!L93="","",PATIENT_PLANNER!L93&amp;IF(OR(PATIENT_PLANNER!M93="",ISNUMBER(SEARCH("Καθ",PATIENT_PLANNER!M93))),""," ("&amp;PATIENT_PLANNER!M93&amp;")"))</f>
        <v/>
      </c>
      <c r="H93" s="17" t="str">
        <f>IF(PATIENT_PLANNER!P93="","",PATIENT_PLANNER!P93&amp;IF(OR(PATIENT_PLANNER!Q93="",ISNUMBER(SEARCH("Καθ",PATIENT_PLANNER!Q93))),""," ("&amp;PATIENT_PLANNER!Q93&amp;")"))</f>
        <v/>
      </c>
      <c r="I93" s="18" t="str">
        <f>IF(PATIENT_PLANNER!R93="","",PATIENT_PLANNER!R93&amp;IF(OR(PATIENT_PLANNER!S93="",ISNUMBER(SEARCH("Καθ",PATIENT_PLANNER!S93))),""," ("&amp;PATIENT_PLANNER!S93&amp;")"))</f>
        <v/>
      </c>
      <c r="J93" s="19" t="str">
        <f>IF(PATIENT_PLANNER!T93="","",PATIENT_PLANNER!T93&amp;IF(OR(PATIENT_PLANNER!U93="",ISNUMBER(SEARCH("Καθ",PATIENT_PLANNER!U93))),""," ("&amp;PATIENT_PLANNER!U93&amp;")"))</f>
        <v/>
      </c>
      <c r="K93" s="14" t="str">
        <f>PATIENT_PLANNER!E93</f>
        <v>παρών</v>
      </c>
    </row>
    <row r="94" spans="1:11" ht="34.049999999999997" customHeight="1" x14ac:dyDescent="0.3">
      <c r="A94" s="14" t="str">
        <f>PATIENT_PLANNER!D94</f>
        <v>Ο</v>
      </c>
      <c r="B94" s="65" t="str">
        <f>PATIENT_PLANNER!B94</f>
        <v>B05</v>
      </c>
      <c r="C94" s="66" t="str">
        <f>PATIENT_PLANNER!C94</f>
        <v>ΟΡΦΑΝΑΚΟΣ</v>
      </c>
      <c r="D94" s="55" t="str">
        <f>IF(PATIENT_PLANNER!F94="","",IF(ISNUMBER(PATIENT_PLANNER!F94),TEXT(PATIENT_PLANNER!F94,"ω:λλ"),PATIENT_PLANNER!F94)&amp;IF(OR(PATIENT_PLANNER!G94="",ISNUMBER(SEARCH("Καθ",PATIENT_PLANNER!G94))),"",
" ("&amp;PATIENT_PLANNER!G94&amp;")")&amp;IF(PATIENT_PLANNER!H94&lt;&gt;"",CHAR(10)&amp;PATIENT_PLANNER!H94,""))</f>
        <v>10:00
Σάκκου</v>
      </c>
      <c r="E94" s="15" t="str">
        <f>IF(PATIENT_PLANNER!I94="","",IF(ISNUMBER(PATIENT_PLANNER!I94),TEXT(PATIENT_PLANNER!I94,"ω:λλ"),PATIENT_PLANNER!I94)&amp;IF(OR(PATIENT_PLANNER!J94="",ISNUMBER(SEARCH("Καθ",PATIENT_PLANNER!J94))),"",
" ("&amp;PATIENT_PLANNER!J94&amp;")")&amp;IF(PATIENT_PLANNER!K94&lt;&gt;"",CHAR(10)&amp;PATIENT_PLANNER!K94,""))</f>
        <v/>
      </c>
      <c r="F94" s="16" t="str">
        <f>IF(PATIENT_PLANNER!N94="","",PATIENT_PLANNER!N94&amp;IF(OR(PATIENT_PLANNER!O94="",ISNUMBER(SEARCH("Καθ",PATIENT_PLANNER!O94))),""," ("&amp;PATIENT_PLANNER!O94&amp;")"))</f>
        <v/>
      </c>
      <c r="G94" s="16" t="str">
        <f>IF(PATIENT_PLANNER!L94="","",PATIENT_PLANNER!L94&amp;IF(OR(PATIENT_PLANNER!M94="",ISNUMBER(SEARCH("Καθ",PATIENT_PLANNER!M94))),""," ("&amp;PATIENT_PLANNER!M94&amp;")"))</f>
        <v/>
      </c>
      <c r="H94" s="17" t="str">
        <f>IF(PATIENT_PLANNER!P94="","",PATIENT_PLANNER!P94&amp;IF(OR(PATIENT_PLANNER!Q94="",ISNUMBER(SEARCH("Καθ",PATIENT_PLANNER!Q94))),""," ("&amp;PATIENT_PLANNER!Q94&amp;")"))</f>
        <v/>
      </c>
      <c r="I94" s="18" t="str">
        <f>IF(PATIENT_PLANNER!R94="","",PATIENT_PLANNER!R94&amp;IF(OR(PATIENT_PLANNER!S94="",ISNUMBER(SEARCH("Καθ",PATIENT_PLANNER!S94))),""," ("&amp;PATIENT_PLANNER!S94&amp;")"))</f>
        <v/>
      </c>
      <c r="J94" s="19" t="str">
        <f>IF(PATIENT_PLANNER!T94="","",PATIENT_PLANNER!T94&amp;IF(OR(PATIENT_PLANNER!U94="",ISNUMBER(SEARCH("Καθ",PATIENT_PLANNER!U94))),""," ("&amp;PATIENT_PLANNER!U94&amp;")"))</f>
        <v/>
      </c>
      <c r="K94" s="14" t="str">
        <f>PATIENT_PLANNER!E94</f>
        <v>παρών</v>
      </c>
    </row>
    <row r="95" spans="1:11" ht="34.049999999999997" customHeight="1" x14ac:dyDescent="0.3">
      <c r="A95" s="14" t="str">
        <f>PATIENT_PLANNER!D95</f>
        <v>Ο</v>
      </c>
      <c r="B95" s="65" t="str">
        <f>PATIENT_PLANNER!B95</f>
        <v>B07</v>
      </c>
      <c r="C95" s="66" t="str">
        <f>PATIENT_PLANNER!C95</f>
        <v>ΑΛΜΑΣΙΔΗΣ</v>
      </c>
      <c r="D95" s="55" t="str">
        <f>IF(PATIENT_PLANNER!F95="","",IF(ISNUMBER(PATIENT_PLANNER!F95),TEXT(PATIENT_PLANNER!F95,"ω:λλ"),PATIENT_PLANNER!F95)&amp;IF(OR(PATIENT_PLANNER!G95="",ISNUMBER(SEARCH("Καθ",PATIENT_PLANNER!G95))),"",
" ("&amp;PATIENT_PLANNER!G95&amp;")")&amp;IF(PATIENT_PLANNER!H95&lt;&gt;"",CHAR(10)&amp;PATIENT_PLANNER!H95,""))</f>
        <v>11:30
Παπαμάνου</v>
      </c>
      <c r="E95" s="15" t="str">
        <f>IF(PATIENT_PLANNER!I95="","",IF(ISNUMBER(PATIENT_PLANNER!I95),TEXT(PATIENT_PLANNER!I95,"ω:λλ"),PATIENT_PLANNER!I95)&amp;IF(OR(PATIENT_PLANNER!J95="",ISNUMBER(SEARCH("Καθ",PATIENT_PLANNER!J95))),"",
" ("&amp;PATIENT_PLANNER!J95&amp;")")&amp;IF(PATIENT_PLANNER!K95&lt;&gt;"",CHAR(10)&amp;PATIENT_PLANNER!K95,""))</f>
        <v/>
      </c>
      <c r="F95" s="16" t="str">
        <f>IF(PATIENT_PLANNER!N95="","",PATIENT_PLANNER!N95&amp;IF(OR(PATIENT_PLANNER!O95="",ISNUMBER(SEARCH("Καθ",PATIENT_PLANNER!O95))),""," ("&amp;PATIENT_PLANNER!O95&amp;")"))</f>
        <v/>
      </c>
      <c r="G95" s="16" t="str">
        <f>IF(PATIENT_PLANNER!L95="","",PATIENT_PLANNER!L95&amp;IF(OR(PATIENT_PLANNER!M95="",ISNUMBER(SEARCH("Καθ",PATIENT_PLANNER!M95))),""," ("&amp;PATIENT_PLANNER!M95&amp;")"))</f>
        <v/>
      </c>
      <c r="H95" s="17" t="str">
        <f>IF(PATIENT_PLANNER!P95="","",PATIENT_PLANNER!P95&amp;IF(OR(PATIENT_PLANNER!Q95="",ISNUMBER(SEARCH("Καθ",PATIENT_PLANNER!Q95))),""," ("&amp;PATIENT_PLANNER!Q95&amp;")"))</f>
        <v/>
      </c>
      <c r="I95" s="18" t="str">
        <f>IF(PATIENT_PLANNER!R95="","",PATIENT_PLANNER!R95&amp;IF(OR(PATIENT_PLANNER!S95="",ISNUMBER(SEARCH("Καθ",PATIENT_PLANNER!S95))),""," ("&amp;PATIENT_PLANNER!S95&amp;")"))</f>
        <v/>
      </c>
      <c r="J95" s="19" t="str">
        <f>IF(PATIENT_PLANNER!T95="","",PATIENT_PLANNER!T95&amp;IF(OR(PATIENT_PLANNER!U95="",ISNUMBER(SEARCH("Καθ",PATIENT_PLANNER!U95))),""," ("&amp;PATIENT_PLANNER!U95&amp;")"))</f>
        <v/>
      </c>
      <c r="K95" s="14" t="str">
        <f>PATIENT_PLANNER!E95</f>
        <v>παρών</v>
      </c>
    </row>
    <row r="96" spans="1:11" ht="34.049999999999997" customHeight="1" x14ac:dyDescent="0.3">
      <c r="A96" s="14" t="str">
        <f>PATIENT_PLANNER!D96</f>
        <v>Ν</v>
      </c>
      <c r="B96" s="53" t="str">
        <f>PATIENT_PLANNER!B96</f>
        <v>B09</v>
      </c>
      <c r="C96" s="54" t="str">
        <f>PATIENT_PLANNER!C96</f>
        <v>ΡΑΠΤΟΠΟΥΛΟΣ</v>
      </c>
      <c r="D96" s="55" t="str">
        <f>IF(PATIENT_PLANNER!F96="","",IF(ISNUMBER(PATIENT_PLANNER!F96),TEXT(PATIENT_PLANNER!F96,"ω:λλ"),PATIENT_PLANNER!F96)&amp;IF(OR(PATIENT_PLANNER!G96="",ISNUMBER(SEARCH("Καθ",PATIENT_PLANNER!G96))),"",
" ("&amp;PATIENT_PLANNER!G96&amp;")")&amp;IF(PATIENT_PLANNER!H96&lt;&gt;"",CHAR(10)&amp;PATIENT_PLANNER!H96,""))</f>
        <v>12:15
Κοσμίδης</v>
      </c>
      <c r="E96" s="15" t="str">
        <f>IF(PATIENT_PLANNER!I96="","",IF(ISNUMBER(PATIENT_PLANNER!I96),TEXT(PATIENT_PLANNER!I96,"ω:λλ"),PATIENT_PLANNER!I96)&amp;IF(OR(PATIENT_PLANNER!J96="",ISNUMBER(SEARCH("Καθ",PATIENT_PLANNER!J96))),"",
" ("&amp;PATIENT_PLANNER!J96&amp;")")&amp;IF(PATIENT_PLANNER!K96&lt;&gt;"",CHAR(10)&amp;PATIENT_PLANNER!K96,""))</f>
        <v/>
      </c>
      <c r="F96" s="16" t="str">
        <f>IF(PATIENT_PLANNER!N96="","",PATIENT_PLANNER!N96&amp;IF(OR(PATIENT_PLANNER!O96="",ISNUMBER(SEARCH("Καθ",PATIENT_PLANNER!O96))),""," ("&amp;PATIENT_PLANNER!O96&amp;")"))</f>
        <v/>
      </c>
      <c r="G96" s="16" t="str">
        <f>IF(PATIENT_PLANNER!L96="","",PATIENT_PLANNER!L96&amp;IF(OR(PATIENT_PLANNER!M96="",ISNUMBER(SEARCH("Καθ",PATIENT_PLANNER!M96))),""," ("&amp;PATIENT_PLANNER!M96&amp;")"))</f>
        <v/>
      </c>
      <c r="H96" s="17" t="str">
        <f>IF(PATIENT_PLANNER!P96="","",PATIENT_PLANNER!P96&amp;IF(OR(PATIENT_PLANNER!Q96="",ISNUMBER(SEARCH("Καθ",PATIENT_PLANNER!Q96))),""," ("&amp;PATIENT_PLANNER!Q96&amp;")"))</f>
        <v/>
      </c>
      <c r="I96" s="18" t="str">
        <f>IF(PATIENT_PLANNER!R96="","",PATIENT_PLANNER!R96&amp;IF(OR(PATIENT_PLANNER!S96="",ISNUMBER(SEARCH("Καθ",PATIENT_PLANNER!S96))),""," ("&amp;PATIENT_PLANNER!S96&amp;")"))</f>
        <v/>
      </c>
      <c r="J96" s="19" t="str">
        <f>IF(PATIENT_PLANNER!T96="","",PATIENT_PLANNER!T96&amp;IF(OR(PATIENT_PLANNER!U96="",ISNUMBER(SEARCH("Καθ",PATIENT_PLANNER!U96))),""," ("&amp;PATIENT_PLANNER!U96&amp;")"))</f>
        <v/>
      </c>
      <c r="K96" s="14" t="str">
        <f>PATIENT_PLANNER!E96</f>
        <v>παρών</v>
      </c>
    </row>
    <row r="97" spans="1:11" ht="34.049999999999997" customHeight="1" x14ac:dyDescent="0.3">
      <c r="A97" s="14" t="str">
        <f>PATIENT_PLANNER!D97</f>
        <v>Ν</v>
      </c>
      <c r="B97" s="53" t="str">
        <f>PATIENT_PLANNER!B97</f>
        <v>B10</v>
      </c>
      <c r="C97" s="54" t="str">
        <f>PATIENT_PLANNER!C97</f>
        <v>ΓΕΩΡΓΙΑΔΗΣ ΓΕΩ</v>
      </c>
      <c r="D97" s="55" t="str">
        <f>IF(PATIENT_PLANNER!F97="","",IF(ISNUMBER(PATIENT_PLANNER!F97),TEXT(PATIENT_PLANNER!F97,"ω:λλ"),PATIENT_PLANNER!F97)&amp;IF(OR(PATIENT_PLANNER!G97="",ISNUMBER(SEARCH("Καθ",PATIENT_PLANNER!G97))),"",
" ("&amp;PATIENT_PLANNER!G97&amp;")")&amp;IF(PATIENT_PLANNER!H97&lt;&gt;"",CHAR(10)&amp;PATIENT_PLANNER!H97,""))</f>
        <v>10:45
Γαβράς</v>
      </c>
      <c r="E97" s="15" t="str">
        <f>IF(PATIENT_PLANNER!I97="","",IF(ISNUMBER(PATIENT_PLANNER!I97),TEXT(PATIENT_PLANNER!I97,"ω:λλ"),PATIENT_PLANNER!I97)&amp;IF(OR(PATIENT_PLANNER!J97="",ISNUMBER(SEARCH("Καθ",PATIENT_PLANNER!J97))),"",
" ("&amp;PATIENT_PLANNER!J97&amp;")")&amp;IF(PATIENT_PLANNER!K97&lt;&gt;"",CHAR(10)&amp;PATIENT_PLANNER!K97,""))</f>
        <v/>
      </c>
      <c r="F97" s="16" t="str">
        <f>IF(PATIENT_PLANNER!N97="","",PATIENT_PLANNER!N97&amp;IF(OR(PATIENT_PLANNER!O97="",ISNUMBER(SEARCH("Καθ",PATIENT_PLANNER!O97))),""," ("&amp;PATIENT_PLANNER!O97&amp;")"))</f>
        <v/>
      </c>
      <c r="G97" s="16" t="str">
        <f>IF(PATIENT_PLANNER!L97="","",PATIENT_PLANNER!L97&amp;IF(OR(PATIENT_PLANNER!M97="",ISNUMBER(SEARCH("Καθ",PATIENT_PLANNER!M97))),""," ("&amp;PATIENT_PLANNER!M97&amp;")"))</f>
        <v/>
      </c>
      <c r="H97" s="17" t="str">
        <f>IF(PATIENT_PLANNER!P97="","",PATIENT_PLANNER!P97&amp;IF(OR(PATIENT_PLANNER!Q97="",ISNUMBER(SEARCH("Καθ",PATIENT_PLANNER!Q97))),""," ("&amp;PATIENT_PLANNER!Q97&amp;")"))</f>
        <v/>
      </c>
      <c r="I97" s="18" t="str">
        <f>IF(PATIENT_PLANNER!R97="","",PATIENT_PLANNER!R97&amp;IF(OR(PATIENT_PLANNER!S97="",ISNUMBER(SEARCH("Καθ",PATIENT_PLANNER!S97))),""," ("&amp;PATIENT_PLANNER!S97&amp;")"))</f>
        <v/>
      </c>
      <c r="J97" s="19" t="str">
        <f>IF(PATIENT_PLANNER!T97="","",PATIENT_PLANNER!T97&amp;IF(OR(PATIENT_PLANNER!U97="",ISNUMBER(SEARCH("Καθ",PATIENT_PLANNER!U97))),""," ("&amp;PATIENT_PLANNER!U97&amp;")"))</f>
        <v/>
      </c>
      <c r="K97" s="14" t="str">
        <f>PATIENT_PLANNER!E97</f>
        <v>παρών</v>
      </c>
    </row>
    <row r="98" spans="1:11" ht="34.049999999999997" customHeight="1" x14ac:dyDescent="0.3">
      <c r="A98" s="14" t="str">
        <f>PATIENT_PLANNER!D98</f>
        <v>Ο</v>
      </c>
      <c r="B98" s="65" t="str">
        <f>PATIENT_PLANNER!B98</f>
        <v>B15</v>
      </c>
      <c r="C98" s="66" t="str">
        <f>PATIENT_PLANNER!C98</f>
        <v>DAYA HEIDE</v>
      </c>
      <c r="D98" s="55" t="str">
        <f>IF(PATIENT_PLANNER!F98="","",IF(ISNUMBER(PATIENT_PLANNER!F98),TEXT(PATIENT_PLANNER!F98,"ω:λλ"),PATIENT_PLANNER!F98)&amp;IF(OR(PATIENT_PLANNER!G98="",ISNUMBER(SEARCH("Καθ",PATIENT_PLANNER!G98))),"",
" ("&amp;PATIENT_PLANNER!G98&amp;")")&amp;IF(PATIENT_PLANNER!H98&lt;&gt;"",CHAR(10)&amp;PATIENT_PLANNER!H98,""))</f>
        <v>10:00
Φιλιππούσης</v>
      </c>
      <c r="E98" s="15" t="str">
        <f>IF(PATIENT_PLANNER!I98="","",IF(ISNUMBER(PATIENT_PLANNER!I98),TEXT(PATIENT_PLANNER!I98,"ω:λλ"),PATIENT_PLANNER!I98)&amp;IF(OR(PATIENT_PLANNER!J98="",ISNUMBER(SEARCH("Καθ",PATIENT_PLANNER!J98))),"",
" ("&amp;PATIENT_PLANNER!J98&amp;")")&amp;IF(PATIENT_PLANNER!K98&lt;&gt;"",CHAR(10)&amp;PATIENT_PLANNER!K98,""))</f>
        <v/>
      </c>
      <c r="F98" s="16" t="str">
        <f>IF(PATIENT_PLANNER!N98="","",PATIENT_PLANNER!N98&amp;IF(OR(PATIENT_PLANNER!O98="",ISNUMBER(SEARCH("Καθ",PATIENT_PLANNER!O98))),""," ("&amp;PATIENT_PLANNER!O98&amp;")"))</f>
        <v/>
      </c>
      <c r="G98" s="16" t="str">
        <f>IF(PATIENT_PLANNER!L98="","",PATIENT_PLANNER!L98&amp;IF(OR(PATIENT_PLANNER!M98="",ISNUMBER(SEARCH("Καθ",PATIENT_PLANNER!M98))),""," ("&amp;PATIENT_PLANNER!M98&amp;")"))</f>
        <v/>
      </c>
      <c r="H98" s="17" t="str">
        <f>IF(PATIENT_PLANNER!P98="","",PATIENT_PLANNER!P98&amp;IF(OR(PATIENT_PLANNER!Q98="",ISNUMBER(SEARCH("Καθ",PATIENT_PLANNER!Q98))),""," ("&amp;PATIENT_PLANNER!Q98&amp;")"))</f>
        <v>12:15</v>
      </c>
      <c r="I98" s="18" t="str">
        <f>IF(PATIENT_PLANNER!R98="","",PATIENT_PLANNER!R98&amp;IF(OR(PATIENT_PLANNER!S98="",ISNUMBER(SEARCH("Καθ",PATIENT_PLANNER!S98))),""," ("&amp;PATIENT_PLANNER!S98&amp;")"))</f>
        <v/>
      </c>
      <c r="J98" s="19" t="str">
        <f>IF(PATIENT_PLANNER!T98="","",PATIENT_PLANNER!T98&amp;IF(OR(PATIENT_PLANNER!U98="",ISNUMBER(SEARCH("Καθ",PATIENT_PLANNER!U98))),""," ("&amp;PATIENT_PLANNER!U98&amp;")"))</f>
        <v/>
      </c>
      <c r="K98" s="14" t="str">
        <f>PATIENT_PLANNER!E98</f>
        <v>παρών</v>
      </c>
    </row>
    <row r="99" spans="1:11" ht="34.049999999999997" customHeight="1" x14ac:dyDescent="0.3">
      <c r="A99" s="14" t="str">
        <f>PATIENT_PLANNER!D99</f>
        <v/>
      </c>
      <c r="B99" s="65" t="str">
        <f>PATIENT_PLANNER!B99</f>
        <v/>
      </c>
      <c r="C99" s="66" t="str">
        <f>PATIENT_PLANNER!C99</f>
        <v/>
      </c>
      <c r="D99" s="55" t="str">
        <f>IF(PATIENT_PLANNER!F99="","",IF(ISNUMBER(PATIENT_PLANNER!F99),TEXT(PATIENT_PLANNER!F99,"ω:λλ"),PATIENT_PLANNER!F99)&amp;IF(OR(PATIENT_PLANNER!G99="",ISNUMBER(SEARCH("Καθ",PATIENT_PLANNER!G99))),"",
" ("&amp;PATIENT_PLANNER!G99&amp;")")&amp;IF(PATIENT_PLANNER!H99&lt;&gt;"",CHAR(10)&amp;PATIENT_PLANNER!H99,""))</f>
        <v/>
      </c>
      <c r="E99" s="15" t="str">
        <f>IF(PATIENT_PLANNER!I99="","",IF(ISNUMBER(PATIENT_PLANNER!I99),TEXT(PATIENT_PLANNER!I99,"ω:λλ"),PATIENT_PLANNER!I99)&amp;IF(OR(PATIENT_PLANNER!J99="",ISNUMBER(SEARCH("Καθ",PATIENT_PLANNER!J99))),"",
" ("&amp;PATIENT_PLANNER!J99&amp;")")&amp;IF(PATIENT_PLANNER!K99&lt;&gt;"",CHAR(10)&amp;PATIENT_PLANNER!K99,""))</f>
        <v/>
      </c>
      <c r="F99" s="16" t="str">
        <f>IF(PATIENT_PLANNER!N99="","",PATIENT_PLANNER!N99&amp;IF(OR(PATIENT_PLANNER!O99="",ISNUMBER(SEARCH("Καθ",PATIENT_PLANNER!O99))),""," ("&amp;PATIENT_PLANNER!O99&amp;")"))</f>
        <v/>
      </c>
      <c r="G99" s="16" t="str">
        <f>IF(PATIENT_PLANNER!L99="","",PATIENT_PLANNER!L99&amp;IF(OR(PATIENT_PLANNER!M99="",ISNUMBER(SEARCH("Καθ",PATIENT_PLANNER!M99))),""," ("&amp;PATIENT_PLANNER!M99&amp;")"))</f>
        <v/>
      </c>
      <c r="H99" s="17" t="str">
        <f>IF(PATIENT_PLANNER!P99="","",PATIENT_PLANNER!P99&amp;IF(OR(PATIENT_PLANNER!Q99="",ISNUMBER(SEARCH("Καθ",PATIENT_PLANNER!Q99))),""," ("&amp;PATIENT_PLANNER!Q99&amp;")"))</f>
        <v/>
      </c>
      <c r="I99" s="18" t="str">
        <f>IF(PATIENT_PLANNER!R99="","",PATIENT_PLANNER!R99&amp;IF(OR(PATIENT_PLANNER!S99="",ISNUMBER(SEARCH("Καθ",PATIENT_PLANNER!S99))),""," ("&amp;PATIENT_PLANNER!S99&amp;")"))</f>
        <v/>
      </c>
      <c r="J99" s="19" t="str">
        <f>IF(PATIENT_PLANNER!T99="","",PATIENT_PLANNER!T99&amp;IF(OR(PATIENT_PLANNER!U99="",ISNUMBER(SEARCH("Καθ",PATIENT_PLANNER!U99))),""," ("&amp;PATIENT_PLANNER!U99&amp;")"))</f>
        <v/>
      </c>
      <c r="K99" s="14" t="str">
        <f>PATIENT_PLANNER!E99</f>
        <v/>
      </c>
    </row>
    <row r="100" spans="1:11" ht="34.049999999999997" customHeight="1" x14ac:dyDescent="0.3">
      <c r="A100" s="14" t="str">
        <f>PATIENT_PLANNER!D100</f>
        <v/>
      </c>
      <c r="B100" s="65" t="str">
        <f>PATIENT_PLANNER!B100</f>
        <v/>
      </c>
      <c r="C100" s="66" t="str">
        <f>PATIENT_PLANNER!C100</f>
        <v/>
      </c>
      <c r="D100" s="55" t="str">
        <f>IF(PATIENT_PLANNER!F100="","",IF(ISNUMBER(PATIENT_PLANNER!F100),TEXT(PATIENT_PLANNER!F100,"ω:λλ"),PATIENT_PLANNER!F100)&amp;IF(OR(PATIENT_PLANNER!G100="",ISNUMBER(SEARCH("Καθ",PATIENT_PLANNER!G100))),"",
" ("&amp;PATIENT_PLANNER!G100&amp;")")&amp;IF(PATIENT_PLANNER!H100&lt;&gt;"",CHAR(10)&amp;PATIENT_PLANNER!H100,""))</f>
        <v/>
      </c>
      <c r="E100" s="15" t="str">
        <f>IF(PATIENT_PLANNER!I100="","",IF(ISNUMBER(PATIENT_PLANNER!I100),TEXT(PATIENT_PLANNER!I100,"ω:λλ"),PATIENT_PLANNER!I100)&amp;IF(OR(PATIENT_PLANNER!J100="",ISNUMBER(SEARCH("Καθ",PATIENT_PLANNER!J100))),"",
" ("&amp;PATIENT_PLANNER!J100&amp;")")&amp;IF(PATIENT_PLANNER!K100&lt;&gt;"",CHAR(10)&amp;PATIENT_PLANNER!K100,""))</f>
        <v/>
      </c>
      <c r="F100" s="16" t="str">
        <f>IF(PATIENT_PLANNER!N100="","",PATIENT_PLANNER!N100&amp;IF(OR(PATIENT_PLANNER!O100="",ISNUMBER(SEARCH("Καθ",PATIENT_PLANNER!O100))),""," ("&amp;PATIENT_PLANNER!O100&amp;")"))</f>
        <v/>
      </c>
      <c r="G100" s="16" t="str">
        <f>IF(PATIENT_PLANNER!L100="","",PATIENT_PLANNER!L100&amp;IF(OR(PATIENT_PLANNER!M100="",ISNUMBER(SEARCH("Καθ",PATIENT_PLANNER!M100))),""," ("&amp;PATIENT_PLANNER!M100&amp;")"))</f>
        <v/>
      </c>
      <c r="H100" s="17" t="str">
        <f>IF(PATIENT_PLANNER!P100="","",PATIENT_PLANNER!P100&amp;IF(OR(PATIENT_PLANNER!Q100="",ISNUMBER(SEARCH("Καθ",PATIENT_PLANNER!Q100))),""," ("&amp;PATIENT_PLANNER!Q100&amp;")"))</f>
        <v/>
      </c>
      <c r="I100" s="18" t="str">
        <f>IF(PATIENT_PLANNER!R100="","",PATIENT_PLANNER!R100&amp;IF(OR(PATIENT_PLANNER!S100="",ISNUMBER(SEARCH("Καθ",PATIENT_PLANNER!S100))),""," ("&amp;PATIENT_PLANNER!S100&amp;")"))</f>
        <v/>
      </c>
      <c r="J100" s="19" t="str">
        <f>IF(PATIENT_PLANNER!T100="","",PATIENT_PLANNER!T100&amp;IF(OR(PATIENT_PLANNER!U100="",ISNUMBER(SEARCH("Καθ",PATIENT_PLANNER!U100))),""," ("&amp;PATIENT_PLANNER!U100&amp;")"))</f>
        <v/>
      </c>
      <c r="K100" s="14" t="str">
        <f>PATIENT_PLANNER!E100</f>
        <v/>
      </c>
    </row>
    <row r="101" spans="1:11" ht="34.049999999999997" customHeight="1" x14ac:dyDescent="0.3">
      <c r="A101" s="21"/>
      <c r="B101" s="67"/>
      <c r="C101" s="67"/>
      <c r="D101" s="56"/>
      <c r="E101" s="21"/>
      <c r="F101" s="21"/>
      <c r="G101" s="21"/>
      <c r="H101" s="21"/>
      <c r="I101" s="21"/>
      <c r="J101" s="21"/>
      <c r="K101" s="21"/>
    </row>
    <row r="102" spans="1:11" ht="34.049999999999997" customHeight="1" x14ac:dyDescent="0.3">
      <c r="A102" s="21"/>
      <c r="B102" s="67"/>
      <c r="C102" s="67"/>
      <c r="D102" s="56"/>
      <c r="E102" s="21"/>
      <c r="F102" s="21"/>
      <c r="G102" s="21"/>
      <c r="H102" s="21"/>
      <c r="I102" s="21"/>
      <c r="J102" s="21"/>
      <c r="K102" s="21"/>
    </row>
    <row r="103" spans="1:11" ht="34.049999999999997" customHeight="1" x14ac:dyDescent="0.3">
      <c r="A103" s="21"/>
      <c r="B103" s="67"/>
      <c r="C103" s="67"/>
      <c r="D103" s="56"/>
      <c r="E103" s="21"/>
      <c r="F103" s="21"/>
      <c r="G103" s="21"/>
      <c r="H103" s="21"/>
      <c r="I103" s="21"/>
      <c r="J103" s="21"/>
      <c r="K103" s="21"/>
    </row>
    <row r="104" spans="1:11" ht="34.049999999999997" customHeight="1" x14ac:dyDescent="0.3">
      <c r="A104" s="21"/>
      <c r="B104" s="67"/>
      <c r="C104" s="67"/>
      <c r="D104" s="56"/>
      <c r="E104" s="21"/>
      <c r="F104" s="21"/>
      <c r="G104" s="21"/>
      <c r="H104" s="21"/>
      <c r="I104" s="21"/>
      <c r="J104" s="21"/>
      <c r="K104" s="21"/>
    </row>
    <row r="105" spans="1:11" ht="34.049999999999997" customHeight="1" x14ac:dyDescent="0.3">
      <c r="A105" s="21"/>
      <c r="B105" s="67"/>
      <c r="C105" s="67"/>
      <c r="D105" s="56"/>
      <c r="E105" s="21"/>
      <c r="F105" s="21"/>
      <c r="G105" s="21"/>
      <c r="H105" s="21"/>
      <c r="I105" s="21"/>
      <c r="J105" s="21"/>
      <c r="K105" s="21"/>
    </row>
    <row r="106" spans="1:11" ht="34.049999999999997" customHeight="1" x14ac:dyDescent="0.3">
      <c r="A106" s="21"/>
      <c r="B106" s="67"/>
      <c r="C106" s="67"/>
      <c r="D106" s="56"/>
      <c r="E106" s="21"/>
      <c r="F106" s="21"/>
      <c r="G106" s="21"/>
      <c r="H106" s="21"/>
      <c r="I106" s="21"/>
      <c r="J106" s="21"/>
      <c r="K106" s="21"/>
    </row>
    <row r="107" spans="1:11" ht="34.049999999999997" customHeight="1" x14ac:dyDescent="0.3">
      <c r="A107" s="21"/>
      <c r="B107" s="67"/>
      <c r="C107" s="67"/>
      <c r="D107" s="56"/>
      <c r="E107" s="21"/>
      <c r="F107" s="21"/>
      <c r="G107" s="21"/>
      <c r="H107" s="21"/>
      <c r="I107" s="21"/>
      <c r="J107" s="21"/>
      <c r="K107" s="21"/>
    </row>
    <row r="108" spans="1:11" ht="34.049999999999997" customHeight="1" x14ac:dyDescent="0.3">
      <c r="A108" s="21"/>
      <c r="B108" s="67"/>
      <c r="C108" s="67"/>
      <c r="D108" s="56"/>
      <c r="E108" s="21"/>
      <c r="F108" s="21"/>
      <c r="G108" s="21"/>
      <c r="H108" s="21"/>
      <c r="I108" s="21"/>
      <c r="J108" s="21"/>
      <c r="K108" s="21"/>
    </row>
    <row r="109" spans="1:11" ht="34.049999999999997" customHeight="1" x14ac:dyDescent="0.3">
      <c r="A109" s="21"/>
      <c r="B109" s="67"/>
      <c r="C109" s="67"/>
      <c r="D109" s="56"/>
      <c r="E109" s="21"/>
      <c r="F109" s="21"/>
      <c r="G109" s="21"/>
      <c r="H109" s="21"/>
      <c r="I109" s="21"/>
      <c r="J109" s="21"/>
      <c r="K109" s="21"/>
    </row>
    <row r="110" spans="1:11" ht="34.049999999999997" customHeight="1" x14ac:dyDescent="0.3">
      <c r="A110" s="21"/>
      <c r="B110" s="67"/>
      <c r="C110" s="67"/>
      <c r="D110" s="56"/>
      <c r="E110" s="21"/>
      <c r="F110" s="21"/>
      <c r="G110" s="21"/>
      <c r="H110" s="21"/>
      <c r="I110" s="21"/>
      <c r="J110" s="21"/>
      <c r="K110" s="21"/>
    </row>
    <row r="111" spans="1:11" ht="34.049999999999997" customHeight="1" x14ac:dyDescent="0.3">
      <c r="A111" s="21"/>
      <c r="B111" s="67"/>
      <c r="C111" s="67"/>
      <c r="D111" s="56"/>
      <c r="E111" s="21"/>
      <c r="F111" s="21"/>
      <c r="G111" s="21"/>
      <c r="H111" s="21"/>
      <c r="I111" s="21"/>
      <c r="J111" s="21"/>
      <c r="K111" s="21"/>
    </row>
    <row r="112" spans="1:11" ht="34.049999999999997" customHeight="1" x14ac:dyDescent="0.3">
      <c r="A112" s="21"/>
      <c r="B112" s="67"/>
      <c r="C112" s="67"/>
      <c r="D112" s="56"/>
      <c r="E112" s="21"/>
      <c r="F112" s="21"/>
      <c r="G112" s="21"/>
      <c r="H112" s="21"/>
      <c r="I112" s="21"/>
      <c r="J112" s="21"/>
      <c r="K112" s="21"/>
    </row>
    <row r="113" spans="1:11" ht="34.049999999999997" customHeight="1" x14ac:dyDescent="0.3">
      <c r="A113" s="21"/>
      <c r="B113" s="67"/>
      <c r="C113" s="67"/>
      <c r="D113" s="56"/>
      <c r="E113" s="21"/>
      <c r="F113" s="21"/>
      <c r="G113" s="21"/>
      <c r="H113" s="21"/>
      <c r="I113" s="21"/>
      <c r="J113" s="21"/>
      <c r="K113" s="21"/>
    </row>
    <row r="114" spans="1:11" ht="34.049999999999997" customHeight="1" x14ac:dyDescent="0.3">
      <c r="A114" s="21"/>
      <c r="B114" s="67"/>
      <c r="C114" s="67"/>
      <c r="D114" s="56"/>
      <c r="E114" s="21"/>
      <c r="F114" s="21"/>
      <c r="G114" s="21"/>
      <c r="H114" s="21"/>
      <c r="I114" s="21"/>
      <c r="J114" s="21"/>
      <c r="K114" s="21"/>
    </row>
    <row r="115" spans="1:11" ht="34.049999999999997" customHeight="1" x14ac:dyDescent="0.3">
      <c r="A115" s="21"/>
      <c r="B115" s="67"/>
      <c r="C115" s="67"/>
      <c r="D115" s="56"/>
      <c r="E115" s="21"/>
      <c r="F115" s="21"/>
      <c r="G115" s="21"/>
      <c r="H115" s="21"/>
      <c r="I115" s="21"/>
      <c r="J115" s="21"/>
      <c r="K115" s="21"/>
    </row>
    <row r="116" spans="1:11" ht="34.049999999999997" customHeight="1" x14ac:dyDescent="0.3">
      <c r="A116" s="21"/>
      <c r="B116" s="67"/>
      <c r="C116" s="67"/>
      <c r="D116" s="56"/>
      <c r="E116" s="21"/>
      <c r="F116" s="21"/>
      <c r="G116" s="21"/>
      <c r="H116" s="21"/>
      <c r="I116" s="21"/>
      <c r="J116" s="21"/>
      <c r="K116" s="21"/>
    </row>
    <row r="117" spans="1:11" ht="34.049999999999997" customHeight="1" x14ac:dyDescent="0.3">
      <c r="A117" s="21"/>
      <c r="B117" s="67"/>
      <c r="C117" s="67"/>
      <c r="D117" s="56"/>
      <c r="E117" s="21"/>
      <c r="F117" s="21"/>
      <c r="G117" s="21"/>
      <c r="H117" s="21"/>
      <c r="I117" s="21"/>
      <c r="J117" s="21"/>
      <c r="K117" s="21"/>
    </row>
    <row r="118" spans="1:11" ht="34.049999999999997" customHeight="1" x14ac:dyDescent="0.3">
      <c r="A118" s="21"/>
      <c r="B118" s="67"/>
      <c r="C118" s="67"/>
      <c r="D118" s="56"/>
      <c r="E118" s="21"/>
      <c r="F118" s="21"/>
      <c r="G118" s="21"/>
      <c r="H118" s="21"/>
      <c r="I118" s="21"/>
      <c r="J118" s="21"/>
      <c r="K118" s="21"/>
    </row>
    <row r="119" spans="1:11" ht="34.049999999999997" customHeight="1" x14ac:dyDescent="0.3">
      <c r="A119" s="21"/>
      <c r="B119" s="67"/>
      <c r="C119" s="67"/>
      <c r="D119" s="56"/>
      <c r="E119" s="21"/>
      <c r="F119" s="21"/>
      <c r="G119" s="21"/>
      <c r="H119" s="21"/>
      <c r="I119" s="21"/>
      <c r="J119" s="21"/>
      <c r="K119" s="21"/>
    </row>
    <row r="120" spans="1:11" ht="34.049999999999997" customHeight="1" x14ac:dyDescent="0.3">
      <c r="A120" s="21"/>
      <c r="B120" s="67"/>
      <c r="C120" s="67"/>
      <c r="D120" s="56"/>
      <c r="E120" s="21"/>
      <c r="F120" s="21"/>
      <c r="G120" s="21"/>
      <c r="H120" s="21"/>
      <c r="I120" s="21"/>
      <c r="J120" s="21"/>
      <c r="K120" s="21"/>
    </row>
    <row r="121" spans="1:11" ht="34.049999999999997" customHeight="1" x14ac:dyDescent="0.3">
      <c r="A121" s="21"/>
      <c r="B121" s="67"/>
      <c r="C121" s="67"/>
      <c r="D121" s="56"/>
      <c r="E121" s="21"/>
      <c r="F121" s="21"/>
      <c r="G121" s="21"/>
      <c r="H121" s="21"/>
      <c r="I121" s="21"/>
      <c r="J121" s="21"/>
      <c r="K121" s="21"/>
    </row>
    <row r="122" spans="1:11" ht="34.049999999999997" customHeight="1" x14ac:dyDescent="0.3">
      <c r="A122" s="21"/>
      <c r="B122" s="67"/>
      <c r="C122" s="67"/>
      <c r="D122" s="56"/>
      <c r="E122" s="21"/>
      <c r="F122" s="21"/>
      <c r="G122" s="21"/>
      <c r="H122" s="21"/>
      <c r="I122" s="21"/>
      <c r="J122" s="21"/>
      <c r="K122" s="21"/>
    </row>
    <row r="123" spans="1:11" ht="34.049999999999997" customHeight="1" x14ac:dyDescent="0.3">
      <c r="A123" s="21"/>
      <c r="B123" s="67"/>
      <c r="C123" s="67"/>
      <c r="D123" s="56"/>
      <c r="E123" s="21"/>
      <c r="F123" s="21"/>
      <c r="G123" s="21"/>
      <c r="H123" s="21"/>
      <c r="I123" s="21"/>
      <c r="J123" s="21"/>
      <c r="K123" s="21"/>
    </row>
    <row r="124" spans="1:11" ht="34.049999999999997" customHeight="1" x14ac:dyDescent="0.3">
      <c r="A124" s="21"/>
      <c r="B124" s="67"/>
      <c r="C124" s="67"/>
      <c r="D124" s="56"/>
      <c r="E124" s="21"/>
      <c r="F124" s="21"/>
      <c r="G124" s="21"/>
      <c r="H124" s="21"/>
      <c r="I124" s="21"/>
      <c r="J124" s="21"/>
      <c r="K124" s="21"/>
    </row>
    <row r="125" spans="1:11" ht="34.049999999999997" customHeight="1" x14ac:dyDescent="0.3">
      <c r="A125" s="21"/>
      <c r="B125" s="67"/>
      <c r="C125" s="67"/>
      <c r="D125" s="56"/>
      <c r="E125" s="21"/>
      <c r="F125" s="21"/>
      <c r="G125" s="21"/>
      <c r="H125" s="21"/>
      <c r="I125" s="21"/>
      <c r="J125" s="21"/>
      <c r="K125" s="21"/>
    </row>
    <row r="126" spans="1:11" ht="34.049999999999997" customHeight="1" x14ac:dyDescent="0.3">
      <c r="A126" s="21"/>
      <c r="B126" s="67"/>
      <c r="C126" s="67"/>
      <c r="D126" s="56"/>
      <c r="E126" s="21"/>
      <c r="F126" s="21"/>
      <c r="G126" s="21"/>
      <c r="H126" s="21"/>
      <c r="I126" s="21"/>
      <c r="J126" s="21"/>
      <c r="K126" s="21"/>
    </row>
    <row r="127" spans="1:11" ht="34.049999999999997" customHeight="1" x14ac:dyDescent="0.3">
      <c r="A127" s="21"/>
      <c r="B127" s="67"/>
      <c r="C127" s="67"/>
      <c r="D127" s="56"/>
      <c r="E127" s="21"/>
      <c r="F127" s="21"/>
      <c r="G127" s="21"/>
      <c r="H127" s="21"/>
      <c r="I127" s="21"/>
      <c r="J127" s="21"/>
      <c r="K127" s="21"/>
    </row>
    <row r="128" spans="1:11" ht="34.049999999999997" customHeight="1" x14ac:dyDescent="0.3">
      <c r="A128" s="21"/>
      <c r="B128" s="67"/>
      <c r="C128" s="67"/>
      <c r="D128" s="56"/>
      <c r="E128" s="21"/>
      <c r="F128" s="21"/>
      <c r="G128" s="21"/>
      <c r="H128" s="21"/>
      <c r="I128" s="21"/>
      <c r="J128" s="21"/>
      <c r="K128" s="21"/>
    </row>
    <row r="129" spans="1:11" ht="34.049999999999997" customHeight="1" x14ac:dyDescent="0.3">
      <c r="A129" s="21"/>
      <c r="B129" s="67"/>
      <c r="C129" s="67"/>
      <c r="D129" s="56"/>
      <c r="E129" s="21"/>
      <c r="F129" s="21"/>
      <c r="G129" s="21"/>
      <c r="H129" s="21"/>
      <c r="I129" s="21"/>
      <c r="J129" s="21"/>
      <c r="K129" s="21"/>
    </row>
    <row r="130" spans="1:11" ht="34.049999999999997" customHeight="1" x14ac:dyDescent="0.3">
      <c r="A130" s="21"/>
      <c r="B130" s="67"/>
      <c r="C130" s="67"/>
      <c r="D130" s="56"/>
      <c r="E130" s="21"/>
      <c r="F130" s="21"/>
      <c r="G130" s="21"/>
      <c r="H130" s="21"/>
      <c r="I130" s="21"/>
      <c r="J130" s="21"/>
      <c r="K130" s="21"/>
    </row>
    <row r="131" spans="1:11" ht="34.049999999999997" customHeight="1" x14ac:dyDescent="0.3">
      <c r="A131" s="21"/>
      <c r="B131" s="67"/>
      <c r="C131" s="67"/>
      <c r="D131" s="56"/>
      <c r="E131" s="21"/>
      <c r="F131" s="21"/>
      <c r="G131" s="21"/>
      <c r="H131" s="21"/>
      <c r="I131" s="21"/>
      <c r="J131" s="21"/>
      <c r="K131" s="21"/>
    </row>
    <row r="132" spans="1:11" ht="34.049999999999997" customHeight="1" x14ac:dyDescent="0.3">
      <c r="A132" s="21"/>
      <c r="B132" s="67"/>
      <c r="C132" s="67"/>
      <c r="D132" s="56"/>
      <c r="E132" s="21"/>
      <c r="F132" s="21"/>
      <c r="G132" s="21"/>
      <c r="H132" s="21"/>
      <c r="I132" s="21"/>
      <c r="J132" s="21"/>
      <c r="K132" s="21"/>
    </row>
    <row r="133" spans="1:11" ht="34.049999999999997" customHeight="1" x14ac:dyDescent="0.3">
      <c r="A133" s="21"/>
      <c r="B133" s="67"/>
      <c r="C133" s="67"/>
      <c r="D133" s="56"/>
      <c r="E133" s="21"/>
      <c r="F133" s="21"/>
      <c r="G133" s="21"/>
      <c r="H133" s="21"/>
      <c r="I133" s="21"/>
      <c r="J133" s="21"/>
      <c r="K133" s="21"/>
    </row>
    <row r="134" spans="1:11" ht="34.049999999999997" customHeight="1" x14ac:dyDescent="0.3">
      <c r="A134" s="21"/>
      <c r="B134" s="67"/>
      <c r="C134" s="67"/>
      <c r="D134" s="56"/>
      <c r="E134" s="21"/>
      <c r="F134" s="21"/>
      <c r="G134" s="21"/>
      <c r="H134" s="21"/>
      <c r="I134" s="21"/>
      <c r="J134" s="21"/>
      <c r="K134" s="21"/>
    </row>
    <row r="135" spans="1:11" ht="34.049999999999997" customHeight="1" x14ac:dyDescent="0.3">
      <c r="A135" s="21"/>
      <c r="B135" s="67"/>
      <c r="C135" s="67"/>
      <c r="D135" s="56"/>
      <c r="E135" s="21"/>
      <c r="F135" s="21"/>
      <c r="G135" s="21"/>
      <c r="H135" s="21"/>
      <c r="I135" s="21"/>
      <c r="J135" s="21"/>
      <c r="K135" s="21"/>
    </row>
    <row r="136" spans="1:11" ht="34.049999999999997" customHeight="1" x14ac:dyDescent="0.3">
      <c r="A136" s="21"/>
      <c r="B136" s="67"/>
      <c r="C136" s="67"/>
      <c r="D136" s="56"/>
      <c r="E136" s="21"/>
      <c r="F136" s="21"/>
      <c r="G136" s="21"/>
      <c r="H136" s="21"/>
      <c r="I136" s="21"/>
      <c r="J136" s="21"/>
      <c r="K136" s="21"/>
    </row>
    <row r="137" spans="1:11" ht="34.049999999999997" customHeight="1" x14ac:dyDescent="0.3">
      <c r="A137" s="21"/>
      <c r="B137" s="67"/>
      <c r="C137" s="67"/>
      <c r="D137" s="56"/>
      <c r="E137" s="21"/>
      <c r="F137" s="21"/>
      <c r="G137" s="21"/>
      <c r="H137" s="21"/>
      <c r="I137" s="21"/>
      <c r="J137" s="21"/>
      <c r="K137" s="21"/>
    </row>
    <row r="138" spans="1:11" ht="34.049999999999997" customHeight="1" x14ac:dyDescent="0.3">
      <c r="A138" s="21"/>
      <c r="B138" s="67"/>
      <c r="C138" s="67"/>
      <c r="D138" s="56"/>
      <c r="E138" s="21"/>
      <c r="F138" s="21"/>
      <c r="G138" s="21"/>
      <c r="H138" s="21"/>
      <c r="I138" s="21"/>
      <c r="J138" s="21"/>
      <c r="K138" s="21"/>
    </row>
    <row r="139" spans="1:11" ht="34.049999999999997" customHeight="1" x14ac:dyDescent="0.3">
      <c r="A139" s="21"/>
      <c r="B139" s="67"/>
      <c r="C139" s="67"/>
      <c r="D139" s="56"/>
      <c r="E139" s="21"/>
      <c r="F139" s="21"/>
      <c r="G139" s="21"/>
      <c r="H139" s="21"/>
      <c r="I139" s="21"/>
      <c r="J139" s="21"/>
      <c r="K139" s="21"/>
    </row>
    <row r="140" spans="1:11" ht="34.049999999999997" customHeight="1" x14ac:dyDescent="0.3">
      <c r="A140" s="21"/>
      <c r="B140" s="67"/>
      <c r="C140" s="67"/>
      <c r="D140" s="56"/>
      <c r="E140" s="21"/>
      <c r="F140" s="21"/>
      <c r="G140" s="21"/>
      <c r="H140" s="21"/>
      <c r="I140" s="21"/>
      <c r="J140" s="21"/>
      <c r="K140" s="21"/>
    </row>
    <row r="141" spans="1:11" ht="34.049999999999997" customHeight="1" x14ac:dyDescent="0.3">
      <c r="A141" s="21"/>
      <c r="B141" s="67"/>
      <c r="C141" s="67"/>
      <c r="D141" s="56"/>
      <c r="E141" s="21"/>
      <c r="F141" s="21"/>
      <c r="G141" s="21"/>
      <c r="H141" s="21"/>
      <c r="I141" s="21"/>
      <c r="J141" s="21"/>
      <c r="K141" s="21"/>
    </row>
    <row r="142" spans="1:11" ht="34.049999999999997" customHeight="1" x14ac:dyDescent="0.3">
      <c r="A142" s="21"/>
      <c r="B142" s="67"/>
      <c r="C142" s="67"/>
      <c r="D142" s="56"/>
      <c r="E142" s="21"/>
      <c r="F142" s="21"/>
      <c r="G142" s="21"/>
      <c r="H142" s="21"/>
      <c r="I142" s="21"/>
      <c r="J142" s="21"/>
      <c r="K142" s="21"/>
    </row>
    <row r="143" spans="1:11" ht="34.049999999999997" customHeight="1" x14ac:dyDescent="0.3">
      <c r="A143" s="21"/>
      <c r="B143" s="67"/>
      <c r="C143" s="67"/>
      <c r="D143" s="56"/>
      <c r="E143" s="21"/>
      <c r="F143" s="21"/>
      <c r="G143" s="21"/>
      <c r="H143" s="21"/>
      <c r="I143" s="21"/>
      <c r="J143" s="21"/>
      <c r="K143" s="21"/>
    </row>
    <row r="144" spans="1:11" ht="34.049999999999997" customHeight="1" x14ac:dyDescent="0.3">
      <c r="A144" s="21"/>
      <c r="B144" s="67"/>
      <c r="C144" s="67"/>
      <c r="D144" s="56"/>
      <c r="E144" s="21"/>
      <c r="F144" s="21"/>
      <c r="G144" s="21"/>
      <c r="H144" s="21"/>
      <c r="I144" s="21"/>
      <c r="J144" s="21"/>
      <c r="K144" s="21"/>
    </row>
    <row r="145" spans="1:11" ht="34.049999999999997" customHeight="1" x14ac:dyDescent="0.3">
      <c r="A145" s="21"/>
      <c r="B145" s="67"/>
      <c r="C145" s="67"/>
      <c r="D145" s="56"/>
      <c r="E145" s="21"/>
      <c r="F145" s="21"/>
      <c r="G145" s="21"/>
      <c r="H145" s="21"/>
      <c r="I145" s="21"/>
      <c r="J145" s="21"/>
      <c r="K145" s="21"/>
    </row>
    <row r="146" spans="1:11" ht="34.049999999999997" customHeight="1" x14ac:dyDescent="0.3">
      <c r="A146" s="21"/>
      <c r="B146" s="67"/>
      <c r="C146" s="67"/>
      <c r="D146" s="56"/>
      <c r="E146" s="21"/>
      <c r="F146" s="21"/>
      <c r="G146" s="21"/>
      <c r="H146" s="21"/>
      <c r="I146" s="21"/>
      <c r="J146" s="21"/>
      <c r="K146" s="21"/>
    </row>
    <row r="147" spans="1:11" ht="34.049999999999997" customHeight="1" x14ac:dyDescent="0.3">
      <c r="A147" s="21"/>
      <c r="B147" s="67"/>
      <c r="C147" s="67"/>
      <c r="D147" s="56"/>
      <c r="E147" s="21"/>
      <c r="F147" s="21"/>
      <c r="G147" s="21"/>
      <c r="H147" s="21"/>
      <c r="I147" s="21"/>
      <c r="J147" s="21"/>
      <c r="K147" s="21"/>
    </row>
    <row r="148" spans="1:11" ht="34.049999999999997" customHeight="1" x14ac:dyDescent="0.3">
      <c r="A148" s="21"/>
      <c r="B148" s="67"/>
      <c r="C148" s="67"/>
      <c r="D148" s="56"/>
      <c r="E148" s="21"/>
      <c r="F148" s="21"/>
      <c r="G148" s="21"/>
      <c r="H148" s="21"/>
      <c r="I148" s="21"/>
      <c r="J148" s="21"/>
      <c r="K148" s="21"/>
    </row>
    <row r="149" spans="1:11" ht="34.049999999999997" customHeight="1" x14ac:dyDescent="0.3">
      <c r="A149" s="21"/>
      <c r="B149" s="67"/>
      <c r="C149" s="67"/>
      <c r="D149" s="56"/>
      <c r="E149" s="21"/>
      <c r="F149" s="21"/>
      <c r="G149" s="21"/>
      <c r="H149" s="21"/>
      <c r="I149" s="21"/>
      <c r="J149" s="21"/>
      <c r="K149" s="21"/>
    </row>
    <row r="150" spans="1:11" ht="34.049999999999997" customHeight="1" x14ac:dyDescent="0.3">
      <c r="A150" s="21"/>
      <c r="B150" s="67"/>
      <c r="C150" s="67"/>
      <c r="D150" s="56"/>
      <c r="E150" s="21"/>
      <c r="F150" s="21"/>
      <c r="G150" s="21"/>
      <c r="H150" s="21"/>
      <c r="I150" s="21"/>
      <c r="J150" s="21"/>
      <c r="K150" s="21"/>
    </row>
    <row r="151" spans="1:11" ht="34.049999999999997" customHeight="1" x14ac:dyDescent="0.3">
      <c r="A151" s="21"/>
      <c r="B151" s="67"/>
      <c r="C151" s="67"/>
      <c r="D151" s="56"/>
      <c r="E151" s="21"/>
      <c r="F151" s="21"/>
      <c r="G151" s="21"/>
      <c r="H151" s="21"/>
      <c r="I151" s="21"/>
      <c r="J151" s="21"/>
      <c r="K151" s="21"/>
    </row>
    <row r="152" spans="1:11" ht="34.049999999999997" customHeight="1" x14ac:dyDescent="0.3">
      <c r="A152" s="21"/>
      <c r="B152" s="67"/>
      <c r="C152" s="67"/>
      <c r="D152" s="56"/>
      <c r="E152" s="21"/>
      <c r="F152" s="21"/>
      <c r="G152" s="21"/>
      <c r="H152" s="21"/>
      <c r="I152" s="21"/>
      <c r="J152" s="21"/>
      <c r="K152" s="21"/>
    </row>
    <row r="153" spans="1:11" ht="34.049999999999997" customHeight="1" x14ac:dyDescent="0.3">
      <c r="A153" s="21"/>
      <c r="B153" s="67"/>
      <c r="C153" s="67"/>
      <c r="D153" s="56"/>
      <c r="E153" s="21"/>
      <c r="F153" s="21"/>
      <c r="G153" s="21"/>
      <c r="H153" s="21"/>
      <c r="I153" s="21"/>
      <c r="J153" s="21"/>
      <c r="K153" s="21"/>
    </row>
    <row r="154" spans="1:11" ht="34.049999999999997" customHeight="1" x14ac:dyDescent="0.3">
      <c r="A154" s="21"/>
      <c r="B154" s="67"/>
      <c r="C154" s="67"/>
      <c r="D154" s="56"/>
      <c r="E154" s="21"/>
      <c r="F154" s="21"/>
      <c r="G154" s="21"/>
      <c r="H154" s="21"/>
      <c r="I154" s="21"/>
      <c r="J154" s="21"/>
      <c r="K154" s="21"/>
    </row>
    <row r="155" spans="1:11" ht="34.049999999999997" customHeight="1" x14ac:dyDescent="0.3">
      <c r="A155" s="21"/>
      <c r="B155" s="67"/>
      <c r="C155" s="67"/>
      <c r="D155" s="56"/>
      <c r="E155" s="21"/>
      <c r="F155" s="21"/>
      <c r="G155" s="21"/>
      <c r="H155" s="21"/>
      <c r="I155" s="21"/>
      <c r="J155" s="21"/>
      <c r="K155" s="21"/>
    </row>
    <row r="156" spans="1:11" ht="34.049999999999997" customHeight="1" x14ac:dyDescent="0.3">
      <c r="A156" s="21"/>
      <c r="B156" s="67"/>
      <c r="C156" s="67"/>
      <c r="D156" s="56"/>
      <c r="E156" s="21"/>
      <c r="F156" s="21"/>
      <c r="G156" s="21"/>
      <c r="H156" s="21"/>
      <c r="I156" s="21"/>
      <c r="J156" s="21"/>
      <c r="K156" s="21"/>
    </row>
    <row r="157" spans="1:11" ht="34.049999999999997" customHeight="1" x14ac:dyDescent="0.3">
      <c r="A157" s="21"/>
      <c r="B157" s="67"/>
      <c r="C157" s="67"/>
      <c r="D157" s="56"/>
      <c r="E157" s="21"/>
      <c r="F157" s="21"/>
      <c r="G157" s="21"/>
      <c r="H157" s="21"/>
      <c r="I157" s="21"/>
      <c r="J157" s="21"/>
      <c r="K157" s="21"/>
    </row>
    <row r="158" spans="1:11" ht="34.049999999999997" customHeight="1" x14ac:dyDescent="0.3">
      <c r="A158" s="21"/>
      <c r="B158" s="67"/>
      <c r="C158" s="67"/>
      <c r="D158" s="56"/>
      <c r="E158" s="21"/>
      <c r="F158" s="21"/>
      <c r="G158" s="21"/>
      <c r="H158" s="21"/>
      <c r="I158" s="21"/>
      <c r="J158" s="21"/>
      <c r="K158" s="21"/>
    </row>
    <row r="159" spans="1:11" ht="34.049999999999997" customHeight="1" x14ac:dyDescent="0.3">
      <c r="A159" s="21"/>
      <c r="B159" s="67"/>
      <c r="C159" s="67"/>
      <c r="D159" s="56"/>
      <c r="E159" s="21"/>
      <c r="F159" s="21"/>
      <c r="G159" s="21"/>
      <c r="H159" s="21"/>
      <c r="I159" s="21"/>
      <c r="J159" s="21"/>
      <c r="K159" s="21"/>
    </row>
    <row r="160" spans="1:11" ht="34.049999999999997" customHeight="1" x14ac:dyDescent="0.3">
      <c r="A160" s="21"/>
      <c r="B160" s="67"/>
      <c r="C160" s="67"/>
      <c r="D160" s="56"/>
      <c r="E160" s="21"/>
      <c r="F160" s="21"/>
      <c r="G160" s="21"/>
      <c r="H160" s="21"/>
      <c r="I160" s="21"/>
      <c r="J160" s="21"/>
      <c r="K160" s="21"/>
    </row>
    <row r="161" spans="1:11" ht="34.049999999999997" customHeight="1" x14ac:dyDescent="0.3">
      <c r="A161" s="21"/>
      <c r="B161" s="67"/>
      <c r="C161" s="67"/>
      <c r="D161" s="56"/>
      <c r="E161" s="21"/>
      <c r="F161" s="21"/>
      <c r="G161" s="21"/>
      <c r="H161" s="21"/>
      <c r="I161" s="21"/>
      <c r="J161" s="21"/>
      <c r="K161" s="21"/>
    </row>
    <row r="162" spans="1:11" ht="34.049999999999997" customHeight="1" x14ac:dyDescent="0.3">
      <c r="A162" s="21"/>
      <c r="B162" s="67"/>
      <c r="C162" s="67"/>
      <c r="D162" s="56"/>
      <c r="E162" s="21"/>
      <c r="F162" s="21"/>
      <c r="G162" s="21"/>
      <c r="H162" s="21"/>
      <c r="I162" s="21"/>
      <c r="J162" s="21"/>
      <c r="K162" s="21"/>
    </row>
    <row r="163" spans="1:11" ht="34.049999999999997" customHeight="1" x14ac:dyDescent="0.3">
      <c r="A163" s="21"/>
      <c r="B163" s="67"/>
      <c r="C163" s="67"/>
      <c r="D163" s="56"/>
      <c r="E163" s="21"/>
      <c r="F163" s="21"/>
      <c r="G163" s="21"/>
      <c r="H163" s="21"/>
      <c r="I163" s="21"/>
      <c r="J163" s="21"/>
      <c r="K163" s="21"/>
    </row>
    <row r="164" spans="1:11" ht="34.049999999999997" customHeight="1" x14ac:dyDescent="0.3">
      <c r="A164" s="21"/>
      <c r="B164" s="67"/>
      <c r="C164" s="67"/>
      <c r="D164" s="56"/>
      <c r="E164" s="21"/>
      <c r="F164" s="21"/>
      <c r="G164" s="21"/>
      <c r="H164" s="21"/>
      <c r="I164" s="21"/>
      <c r="J164" s="21"/>
      <c r="K164" s="21"/>
    </row>
    <row r="165" spans="1:11" ht="34.049999999999997" customHeight="1" x14ac:dyDescent="0.3">
      <c r="A165" s="21"/>
      <c r="B165" s="67"/>
      <c r="C165" s="67"/>
      <c r="D165" s="56"/>
      <c r="E165" s="21"/>
      <c r="F165" s="21"/>
      <c r="G165" s="21"/>
      <c r="H165" s="21"/>
      <c r="I165" s="21"/>
      <c r="J165" s="21"/>
      <c r="K165" s="21"/>
    </row>
    <row r="166" spans="1:11" ht="34.049999999999997" customHeight="1" x14ac:dyDescent="0.3">
      <c r="A166" s="21"/>
      <c r="B166" s="67"/>
      <c r="C166" s="67"/>
      <c r="D166" s="56"/>
      <c r="E166" s="21"/>
      <c r="F166" s="21"/>
      <c r="G166" s="21"/>
      <c r="H166" s="21"/>
      <c r="I166" s="21"/>
      <c r="J166" s="21"/>
      <c r="K166" s="21"/>
    </row>
    <row r="167" spans="1:11" ht="34.049999999999997" customHeight="1" x14ac:dyDescent="0.3">
      <c r="A167" s="21"/>
      <c r="B167" s="67"/>
      <c r="C167" s="67"/>
      <c r="D167" s="56"/>
      <c r="E167" s="21"/>
      <c r="F167" s="21"/>
      <c r="G167" s="21"/>
      <c r="H167" s="21"/>
      <c r="I167" s="21"/>
      <c r="J167" s="21"/>
      <c r="K167" s="21"/>
    </row>
    <row r="168" spans="1:11" ht="34.049999999999997" customHeight="1" x14ac:dyDescent="0.3">
      <c r="A168" s="21"/>
      <c r="B168" s="67"/>
      <c r="C168" s="67"/>
      <c r="D168" s="56"/>
      <c r="E168" s="21"/>
      <c r="F168" s="21"/>
      <c r="G168" s="21"/>
      <c r="H168" s="21"/>
      <c r="I168" s="21"/>
      <c r="J168" s="21"/>
      <c r="K168" s="21"/>
    </row>
    <row r="169" spans="1:11" ht="34.049999999999997" customHeight="1" x14ac:dyDescent="0.3">
      <c r="A169" s="21"/>
      <c r="B169" s="67"/>
      <c r="C169" s="67"/>
      <c r="D169" s="56"/>
      <c r="E169" s="21"/>
      <c r="F169" s="21"/>
      <c r="G169" s="21"/>
      <c r="H169" s="21"/>
      <c r="I169" s="21"/>
      <c r="J169" s="21"/>
      <c r="K169" s="21"/>
    </row>
    <row r="170" spans="1:11" ht="34.049999999999997" customHeight="1" x14ac:dyDescent="0.3">
      <c r="A170" s="21"/>
      <c r="B170" s="67"/>
      <c r="C170" s="67"/>
      <c r="D170" s="56"/>
      <c r="E170" s="21"/>
      <c r="F170" s="21"/>
      <c r="G170" s="21"/>
      <c r="H170" s="21"/>
      <c r="I170" s="21"/>
      <c r="J170" s="21"/>
      <c r="K170" s="21"/>
    </row>
    <row r="171" spans="1:11" ht="34.049999999999997" customHeight="1" x14ac:dyDescent="0.3">
      <c r="A171" s="21"/>
      <c r="B171" s="67"/>
      <c r="C171" s="67"/>
      <c r="D171" s="56"/>
      <c r="E171" s="21"/>
      <c r="F171" s="21"/>
      <c r="G171" s="21"/>
      <c r="H171" s="21"/>
      <c r="I171" s="21"/>
      <c r="J171" s="21"/>
      <c r="K171" s="21"/>
    </row>
    <row r="172" spans="1:11" ht="34.049999999999997" customHeight="1" x14ac:dyDescent="0.3">
      <c r="A172" s="21"/>
      <c r="B172" s="67"/>
      <c r="C172" s="67"/>
      <c r="D172" s="56"/>
      <c r="E172" s="21"/>
      <c r="F172" s="21"/>
      <c r="G172" s="21"/>
      <c r="H172" s="21"/>
      <c r="I172" s="21"/>
      <c r="J172" s="21"/>
      <c r="K172" s="21"/>
    </row>
    <row r="173" spans="1:11" ht="34.049999999999997" customHeight="1" x14ac:dyDescent="0.3">
      <c r="A173" s="21"/>
      <c r="B173" s="67"/>
      <c r="C173" s="67"/>
      <c r="D173" s="56"/>
      <c r="E173" s="21"/>
      <c r="F173" s="21"/>
      <c r="G173" s="21"/>
      <c r="H173" s="21"/>
      <c r="I173" s="21"/>
      <c r="J173" s="21"/>
      <c r="K173" s="21"/>
    </row>
    <row r="174" spans="1:11" ht="34.049999999999997" customHeight="1" x14ac:dyDescent="0.3">
      <c r="A174" s="21"/>
      <c r="B174" s="67"/>
      <c r="C174" s="67"/>
      <c r="D174" s="56"/>
      <c r="E174" s="21"/>
      <c r="F174" s="21"/>
      <c r="G174" s="21"/>
      <c r="H174" s="21"/>
      <c r="I174" s="21"/>
      <c r="J174" s="21"/>
      <c r="K174" s="21"/>
    </row>
    <row r="175" spans="1:11" ht="34.049999999999997" customHeight="1" x14ac:dyDescent="0.3">
      <c r="A175" s="21"/>
      <c r="B175" s="67"/>
      <c r="C175" s="67"/>
      <c r="D175" s="56"/>
      <c r="E175" s="21"/>
      <c r="F175" s="21"/>
      <c r="G175" s="21"/>
      <c r="H175" s="21"/>
      <c r="I175" s="21"/>
      <c r="J175" s="21"/>
      <c r="K175" s="21"/>
    </row>
    <row r="176" spans="1:11" ht="34.049999999999997" customHeight="1" x14ac:dyDescent="0.3">
      <c r="A176" s="21"/>
      <c r="B176" s="67"/>
      <c r="C176" s="67"/>
      <c r="D176" s="56"/>
      <c r="E176" s="21"/>
      <c r="F176" s="21"/>
      <c r="G176" s="21"/>
      <c r="H176" s="21"/>
      <c r="I176" s="21"/>
      <c r="J176" s="21"/>
      <c r="K176" s="21"/>
    </row>
    <row r="177" spans="1:11" ht="34.049999999999997" customHeight="1" x14ac:dyDescent="0.3">
      <c r="A177" s="21"/>
      <c r="B177" s="67"/>
      <c r="C177" s="67"/>
      <c r="D177" s="56"/>
      <c r="E177" s="21"/>
      <c r="F177" s="21"/>
      <c r="G177" s="21"/>
      <c r="H177" s="21"/>
      <c r="I177" s="21"/>
      <c r="J177" s="21"/>
      <c r="K177" s="21"/>
    </row>
    <row r="178" spans="1:11" ht="34.049999999999997" customHeight="1" x14ac:dyDescent="0.3">
      <c r="A178" s="21"/>
      <c r="B178" s="67"/>
      <c r="C178" s="67"/>
      <c r="D178" s="56"/>
      <c r="E178" s="21"/>
      <c r="F178" s="21"/>
      <c r="G178" s="21"/>
      <c r="H178" s="21"/>
      <c r="I178" s="21"/>
      <c r="J178" s="21"/>
      <c r="K178" s="21"/>
    </row>
    <row r="179" spans="1:11" ht="34.049999999999997" customHeight="1" x14ac:dyDescent="0.3">
      <c r="A179" s="21"/>
      <c r="B179" s="67"/>
      <c r="C179" s="67"/>
      <c r="D179" s="56"/>
      <c r="E179" s="21"/>
      <c r="F179" s="21"/>
      <c r="G179" s="21"/>
      <c r="H179" s="21"/>
      <c r="I179" s="21"/>
      <c r="J179" s="21"/>
      <c r="K179" s="21"/>
    </row>
    <row r="180" spans="1:11" ht="34.049999999999997" customHeight="1" x14ac:dyDescent="0.3">
      <c r="A180" s="21"/>
      <c r="B180" s="67"/>
      <c r="C180" s="67"/>
      <c r="D180" s="56"/>
      <c r="E180" s="21"/>
      <c r="F180" s="21"/>
      <c r="G180" s="21"/>
      <c r="H180" s="21"/>
      <c r="I180" s="21"/>
      <c r="J180" s="21"/>
      <c r="K180" s="21"/>
    </row>
    <row r="181" spans="1:11" ht="34.049999999999997" customHeight="1" x14ac:dyDescent="0.3">
      <c r="A181" s="21"/>
      <c r="B181" s="67"/>
      <c r="C181" s="67"/>
      <c r="D181" s="56"/>
      <c r="E181" s="21"/>
      <c r="F181" s="21"/>
      <c r="G181" s="21"/>
      <c r="H181" s="21"/>
      <c r="I181" s="21"/>
      <c r="J181" s="21"/>
      <c r="K181" s="21"/>
    </row>
    <row r="182" spans="1:11" ht="34.049999999999997" customHeight="1" x14ac:dyDescent="0.3">
      <c r="A182" s="21"/>
      <c r="B182" s="67"/>
      <c r="C182" s="67"/>
      <c r="D182" s="56"/>
      <c r="E182" s="21"/>
      <c r="F182" s="21"/>
      <c r="G182" s="21"/>
      <c r="H182" s="21"/>
      <c r="I182" s="21"/>
      <c r="J182" s="21"/>
      <c r="K182" s="21"/>
    </row>
    <row r="183" spans="1:11" ht="34.049999999999997" customHeight="1" x14ac:dyDescent="0.3">
      <c r="A183" s="21"/>
      <c r="B183" s="67"/>
      <c r="C183" s="67"/>
      <c r="D183" s="56"/>
      <c r="E183" s="21"/>
      <c r="F183" s="21"/>
      <c r="G183" s="21"/>
      <c r="H183" s="21"/>
      <c r="I183" s="21"/>
      <c r="J183" s="21"/>
      <c r="K183" s="21"/>
    </row>
    <row r="184" spans="1:11" ht="34.049999999999997" customHeight="1" x14ac:dyDescent="0.3">
      <c r="A184" s="21"/>
      <c r="B184" s="67"/>
      <c r="C184" s="67"/>
      <c r="D184" s="56"/>
      <c r="E184" s="21"/>
      <c r="F184" s="21"/>
      <c r="G184" s="21"/>
      <c r="H184" s="21"/>
      <c r="I184" s="21"/>
      <c r="J184" s="21"/>
      <c r="K184" s="21"/>
    </row>
    <row r="185" spans="1:11" ht="34.049999999999997" customHeight="1" x14ac:dyDescent="0.3">
      <c r="A185" s="21"/>
      <c r="B185" s="67"/>
      <c r="C185" s="67"/>
      <c r="D185" s="56"/>
      <c r="E185" s="21"/>
      <c r="F185" s="21"/>
      <c r="G185" s="21"/>
      <c r="H185" s="21"/>
      <c r="I185" s="21"/>
      <c r="J185" s="21"/>
      <c r="K185" s="21"/>
    </row>
    <row r="186" spans="1:11" ht="34.049999999999997" customHeight="1" x14ac:dyDescent="0.3">
      <c r="A186" s="21"/>
      <c r="B186" s="67"/>
      <c r="C186" s="67"/>
      <c r="D186" s="56"/>
      <c r="E186" s="21"/>
      <c r="F186" s="21"/>
      <c r="G186" s="21"/>
      <c r="H186" s="21"/>
      <c r="I186" s="21"/>
      <c r="J186" s="21"/>
      <c r="K186" s="21"/>
    </row>
    <row r="187" spans="1:11" ht="34.049999999999997" customHeight="1" x14ac:dyDescent="0.3">
      <c r="A187" s="21"/>
      <c r="B187" s="67"/>
      <c r="C187" s="67"/>
      <c r="D187" s="56"/>
      <c r="E187" s="21"/>
      <c r="F187" s="21"/>
      <c r="G187" s="21"/>
      <c r="H187" s="21"/>
      <c r="I187" s="21"/>
      <c r="J187" s="21"/>
      <c r="K187" s="21"/>
    </row>
    <row r="188" spans="1:11" ht="34.049999999999997" customHeight="1" x14ac:dyDescent="0.3">
      <c r="A188" s="21"/>
      <c r="B188" s="67"/>
      <c r="C188" s="67"/>
      <c r="D188" s="56"/>
      <c r="E188" s="21"/>
      <c r="F188" s="21"/>
      <c r="G188" s="21"/>
      <c r="H188" s="21"/>
      <c r="I188" s="21"/>
      <c r="J188" s="21"/>
      <c r="K188" s="21"/>
    </row>
    <row r="189" spans="1:11" ht="34.049999999999997" customHeight="1" x14ac:dyDescent="0.3">
      <c r="A189" s="21"/>
      <c r="B189" s="67"/>
      <c r="C189" s="67"/>
      <c r="D189" s="56"/>
      <c r="E189" s="21"/>
      <c r="F189" s="21"/>
      <c r="G189" s="21"/>
      <c r="H189" s="21"/>
      <c r="I189" s="21"/>
      <c r="J189" s="21"/>
      <c r="K189" s="21"/>
    </row>
    <row r="190" spans="1:11" ht="34.049999999999997" customHeight="1" x14ac:dyDescent="0.3">
      <c r="A190" s="21"/>
      <c r="B190" s="67"/>
      <c r="C190" s="67"/>
      <c r="D190" s="56"/>
      <c r="E190" s="21"/>
      <c r="F190" s="21"/>
      <c r="G190" s="21"/>
      <c r="H190" s="21"/>
      <c r="I190" s="21"/>
      <c r="J190" s="21"/>
      <c r="K190" s="21"/>
    </row>
    <row r="191" spans="1:11" ht="34.049999999999997" customHeight="1" x14ac:dyDescent="0.3">
      <c r="A191" s="21"/>
      <c r="B191" s="67"/>
      <c r="C191" s="67"/>
      <c r="D191" s="56"/>
      <c r="E191" s="21"/>
      <c r="F191" s="21"/>
      <c r="G191" s="21"/>
      <c r="H191" s="21"/>
      <c r="I191" s="21"/>
      <c r="J191" s="21"/>
      <c r="K191" s="21"/>
    </row>
    <row r="192" spans="1:11" ht="34.049999999999997" customHeight="1" x14ac:dyDescent="0.3">
      <c r="A192" s="21"/>
      <c r="B192" s="67"/>
      <c r="C192" s="67"/>
      <c r="D192" s="56"/>
      <c r="E192" s="21"/>
      <c r="F192" s="21"/>
      <c r="G192" s="21"/>
      <c r="H192" s="21"/>
      <c r="I192" s="21"/>
      <c r="J192" s="21"/>
      <c r="K192" s="21"/>
    </row>
    <row r="193" spans="1:11" ht="34.049999999999997" customHeight="1" x14ac:dyDescent="0.3">
      <c r="A193" s="21"/>
      <c r="B193" s="67"/>
      <c r="C193" s="67"/>
      <c r="D193" s="56"/>
      <c r="E193" s="21"/>
      <c r="F193" s="21"/>
      <c r="G193" s="21"/>
      <c r="H193" s="21"/>
      <c r="I193" s="21"/>
      <c r="J193" s="21"/>
      <c r="K193" s="21"/>
    </row>
    <row r="194" spans="1:11" ht="34.049999999999997" customHeight="1" x14ac:dyDescent="0.3">
      <c r="A194" s="21"/>
      <c r="B194" s="67"/>
      <c r="C194" s="67"/>
      <c r="D194" s="56"/>
      <c r="E194" s="21"/>
      <c r="F194" s="21"/>
      <c r="G194" s="21"/>
      <c r="H194" s="21"/>
      <c r="I194" s="21"/>
      <c r="J194" s="21"/>
      <c r="K194" s="21"/>
    </row>
    <row r="195" spans="1:11" ht="34.049999999999997" customHeight="1" x14ac:dyDescent="0.3">
      <c r="A195" s="21"/>
      <c r="B195" s="67"/>
      <c r="C195" s="67"/>
      <c r="D195" s="56"/>
      <c r="E195" s="21"/>
      <c r="F195" s="21"/>
      <c r="G195" s="21"/>
      <c r="H195" s="21"/>
      <c r="I195" s="21"/>
      <c r="J195" s="21"/>
      <c r="K195" s="21"/>
    </row>
    <row r="196" spans="1:11" ht="34.049999999999997" customHeight="1" x14ac:dyDescent="0.3">
      <c r="A196" s="21"/>
      <c r="B196" s="67"/>
      <c r="C196" s="67"/>
      <c r="D196" s="56"/>
      <c r="E196" s="21"/>
      <c r="F196" s="21"/>
      <c r="G196" s="21"/>
      <c r="H196" s="21"/>
      <c r="I196" s="21"/>
      <c r="J196" s="21"/>
      <c r="K196" s="21"/>
    </row>
    <row r="197" spans="1:11" ht="34.049999999999997" customHeight="1" x14ac:dyDescent="0.3">
      <c r="A197" s="21"/>
      <c r="B197" s="67"/>
      <c r="C197" s="67"/>
      <c r="D197" s="56"/>
      <c r="E197" s="21"/>
      <c r="F197" s="21"/>
      <c r="G197" s="21"/>
      <c r="H197" s="21"/>
      <c r="I197" s="21"/>
      <c r="J197" s="21"/>
      <c r="K197" s="21"/>
    </row>
    <row r="198" spans="1:11" ht="34.049999999999997" customHeight="1" x14ac:dyDescent="0.3">
      <c r="A198" s="21"/>
      <c r="B198" s="67"/>
      <c r="C198" s="67"/>
      <c r="D198" s="56"/>
      <c r="E198" s="21"/>
      <c r="F198" s="21"/>
      <c r="G198" s="21"/>
      <c r="H198" s="21"/>
      <c r="I198" s="21"/>
      <c r="J198" s="21"/>
      <c r="K198" s="21"/>
    </row>
    <row r="199" spans="1:11" ht="34.049999999999997" customHeight="1" x14ac:dyDescent="0.3">
      <c r="A199" s="21"/>
      <c r="B199" s="67"/>
      <c r="C199" s="67"/>
      <c r="D199" s="56"/>
      <c r="E199" s="21"/>
      <c r="F199" s="21"/>
      <c r="G199" s="21"/>
      <c r="H199" s="21"/>
      <c r="I199" s="21"/>
      <c r="J199" s="21"/>
      <c r="K199" s="21"/>
    </row>
    <row r="200" spans="1:11" ht="34.049999999999997" customHeight="1" x14ac:dyDescent="0.3">
      <c r="A200" s="21"/>
      <c r="B200" s="67"/>
      <c r="C200" s="67"/>
      <c r="D200" s="56"/>
      <c r="E200" s="21"/>
      <c r="F200" s="21"/>
      <c r="G200" s="21"/>
      <c r="H200" s="21"/>
      <c r="I200" s="21"/>
      <c r="J200" s="21"/>
      <c r="K200" s="21"/>
    </row>
    <row r="201" spans="1:11" ht="34.049999999999997" customHeight="1" x14ac:dyDescent="0.3">
      <c r="A201" s="21"/>
      <c r="B201" s="67"/>
      <c r="C201" s="67"/>
      <c r="D201" s="56"/>
      <c r="E201" s="21"/>
      <c r="F201" s="21"/>
      <c r="G201" s="21"/>
      <c r="H201" s="21"/>
      <c r="I201" s="21"/>
      <c r="J201" s="21"/>
      <c r="K201" s="21"/>
    </row>
    <row r="202" spans="1:11" ht="34.049999999999997" customHeight="1" x14ac:dyDescent="0.3">
      <c r="A202" s="21"/>
      <c r="B202" s="67"/>
      <c r="C202" s="67"/>
      <c r="D202" s="56"/>
      <c r="E202" s="21"/>
      <c r="F202" s="21"/>
      <c r="G202" s="21"/>
      <c r="H202" s="21"/>
      <c r="I202" s="21"/>
      <c r="J202" s="21"/>
      <c r="K202" s="21"/>
    </row>
    <row r="203" spans="1:11" ht="34.049999999999997" customHeight="1" x14ac:dyDescent="0.3">
      <c r="A203" s="21"/>
      <c r="B203" s="67"/>
      <c r="C203" s="67"/>
      <c r="D203" s="56"/>
      <c r="E203" s="21"/>
      <c r="F203" s="21"/>
      <c r="G203" s="21"/>
      <c r="H203" s="21"/>
      <c r="I203" s="21"/>
      <c r="J203" s="21"/>
      <c r="K203" s="21"/>
    </row>
    <row r="204" spans="1:11" ht="34.049999999999997" customHeight="1" x14ac:dyDescent="0.3">
      <c r="A204" s="21"/>
      <c r="B204" s="67"/>
      <c r="C204" s="67"/>
      <c r="D204" s="56"/>
      <c r="E204" s="21"/>
      <c r="F204" s="21"/>
      <c r="G204" s="21"/>
      <c r="H204" s="21"/>
      <c r="I204" s="21"/>
      <c r="J204" s="21"/>
      <c r="K204" s="21"/>
    </row>
    <row r="205" spans="1:11" ht="34.049999999999997" customHeight="1" x14ac:dyDescent="0.3">
      <c r="A205" s="21"/>
      <c r="B205" s="67"/>
      <c r="C205" s="67"/>
      <c r="D205" s="56"/>
      <c r="E205" s="21"/>
      <c r="F205" s="21"/>
      <c r="G205" s="21"/>
      <c r="H205" s="21"/>
      <c r="I205" s="21"/>
      <c r="J205" s="21"/>
      <c r="K205" s="21"/>
    </row>
    <row r="206" spans="1:11" ht="34.049999999999997" customHeight="1" x14ac:dyDescent="0.3">
      <c r="A206" s="21"/>
      <c r="B206" s="67"/>
      <c r="C206" s="67"/>
      <c r="D206" s="56"/>
      <c r="E206" s="21"/>
      <c r="F206" s="21"/>
      <c r="G206" s="21"/>
      <c r="H206" s="21"/>
      <c r="I206" s="21"/>
      <c r="J206" s="21"/>
      <c r="K206" s="21"/>
    </row>
    <row r="207" spans="1:11" ht="34.049999999999997" customHeight="1" x14ac:dyDescent="0.3">
      <c r="A207" s="21"/>
      <c r="B207" s="67"/>
      <c r="C207" s="67"/>
      <c r="D207" s="56"/>
      <c r="E207" s="21"/>
      <c r="F207" s="21"/>
      <c r="G207" s="21"/>
      <c r="H207" s="21"/>
      <c r="I207" s="21"/>
      <c r="J207" s="21"/>
      <c r="K207" s="21"/>
    </row>
    <row r="208" spans="1:11" ht="34.049999999999997" customHeight="1" x14ac:dyDescent="0.3">
      <c r="A208" s="21"/>
      <c r="B208" s="67"/>
      <c r="C208" s="67"/>
      <c r="D208" s="56"/>
      <c r="E208" s="21"/>
      <c r="F208" s="21"/>
      <c r="G208" s="21"/>
      <c r="H208" s="21"/>
      <c r="I208" s="21"/>
      <c r="J208" s="21"/>
      <c r="K208" s="21"/>
    </row>
    <row r="209" spans="1:11" ht="34.049999999999997" customHeight="1" x14ac:dyDescent="0.3">
      <c r="A209" s="21"/>
      <c r="B209" s="67"/>
      <c r="C209" s="67"/>
      <c r="D209" s="56"/>
      <c r="E209" s="21"/>
      <c r="F209" s="21"/>
      <c r="G209" s="21"/>
      <c r="H209" s="21"/>
      <c r="I209" s="21"/>
      <c r="J209" s="21"/>
      <c r="K209" s="21"/>
    </row>
    <row r="210" spans="1:11" ht="34.049999999999997" customHeight="1" x14ac:dyDescent="0.3">
      <c r="A210" s="21"/>
      <c r="B210" s="67"/>
      <c r="C210" s="67"/>
      <c r="D210" s="56"/>
      <c r="E210" s="21"/>
      <c r="F210" s="21"/>
      <c r="G210" s="21"/>
      <c r="H210" s="21"/>
      <c r="I210" s="21"/>
      <c r="J210" s="21"/>
      <c r="K210" s="21"/>
    </row>
    <row r="211" spans="1:11" ht="34.049999999999997" customHeight="1" x14ac:dyDescent="0.3">
      <c r="A211" s="21"/>
      <c r="B211" s="67"/>
      <c r="C211" s="67"/>
      <c r="D211" s="56"/>
      <c r="E211" s="21"/>
      <c r="F211" s="21"/>
      <c r="G211" s="21"/>
      <c r="H211" s="21"/>
      <c r="I211" s="21"/>
      <c r="J211" s="21"/>
      <c r="K211" s="21"/>
    </row>
    <row r="212" spans="1:11" ht="34.049999999999997" customHeight="1" x14ac:dyDescent="0.3">
      <c r="A212" s="21"/>
      <c r="B212" s="67"/>
      <c r="C212" s="67"/>
      <c r="D212" s="56"/>
      <c r="E212" s="21"/>
      <c r="F212" s="21"/>
      <c r="G212" s="21"/>
      <c r="H212" s="21"/>
      <c r="I212" s="21"/>
      <c r="J212" s="21"/>
      <c r="K212" s="21"/>
    </row>
    <row r="213" spans="1:11" ht="34.049999999999997" customHeight="1" x14ac:dyDescent="0.3">
      <c r="A213" s="21"/>
      <c r="B213" s="67"/>
      <c r="C213" s="67"/>
      <c r="D213" s="56"/>
      <c r="E213" s="21"/>
      <c r="F213" s="21"/>
      <c r="G213" s="21"/>
      <c r="H213" s="21"/>
      <c r="I213" s="21"/>
      <c r="J213" s="21"/>
      <c r="K213" s="21"/>
    </row>
    <row r="214" spans="1:11" ht="34.049999999999997" customHeight="1" x14ac:dyDescent="0.3">
      <c r="A214" s="21"/>
      <c r="B214" s="67"/>
      <c r="C214" s="67"/>
      <c r="D214" s="56"/>
      <c r="E214" s="21"/>
      <c r="F214" s="21"/>
      <c r="G214" s="21"/>
      <c r="H214" s="21"/>
      <c r="I214" s="21"/>
      <c r="J214" s="21"/>
      <c r="K214" s="21"/>
    </row>
    <row r="215" spans="1:11" ht="34.049999999999997" customHeight="1" x14ac:dyDescent="0.3">
      <c r="A215" s="21"/>
      <c r="B215" s="67"/>
      <c r="C215" s="67"/>
      <c r="D215" s="56"/>
      <c r="E215" s="21"/>
      <c r="F215" s="21"/>
      <c r="G215" s="21"/>
      <c r="H215" s="21"/>
      <c r="I215" s="21"/>
      <c r="J215" s="21"/>
      <c r="K215" s="21"/>
    </row>
    <row r="216" spans="1:11" ht="34.049999999999997" customHeight="1" x14ac:dyDescent="0.3">
      <c r="A216" s="21"/>
      <c r="B216" s="67"/>
      <c r="C216" s="67"/>
      <c r="D216" s="56"/>
      <c r="E216" s="21"/>
      <c r="F216" s="21"/>
      <c r="G216" s="21"/>
      <c r="H216" s="21"/>
      <c r="I216" s="21"/>
      <c r="J216" s="21"/>
      <c r="K216" s="21"/>
    </row>
    <row r="217" spans="1:11" ht="34.049999999999997" customHeight="1" x14ac:dyDescent="0.3">
      <c r="A217" s="21"/>
      <c r="B217" s="67"/>
      <c r="C217" s="67"/>
      <c r="D217" s="56"/>
      <c r="E217" s="21"/>
      <c r="F217" s="21"/>
      <c r="G217" s="21"/>
      <c r="H217" s="21"/>
      <c r="I217" s="21"/>
      <c r="J217" s="21"/>
      <c r="K217" s="21"/>
    </row>
    <row r="218" spans="1:11" ht="34.049999999999997" customHeight="1" x14ac:dyDescent="0.3">
      <c r="A218" s="21"/>
      <c r="B218" s="67"/>
      <c r="C218" s="67"/>
      <c r="D218" s="56"/>
      <c r="E218" s="21"/>
      <c r="F218" s="21"/>
      <c r="G218" s="21"/>
      <c r="H218" s="21"/>
      <c r="I218" s="21"/>
      <c r="J218" s="21"/>
      <c r="K218" s="21"/>
    </row>
    <row r="219" spans="1:11" ht="34.049999999999997" customHeight="1" x14ac:dyDescent="0.3">
      <c r="A219" s="21"/>
      <c r="B219" s="67"/>
      <c r="C219" s="67"/>
      <c r="D219" s="56"/>
      <c r="E219" s="21"/>
      <c r="F219" s="21"/>
      <c r="G219" s="21"/>
      <c r="H219" s="21"/>
      <c r="I219" s="21"/>
      <c r="J219" s="21"/>
      <c r="K219" s="21"/>
    </row>
    <row r="220" spans="1:11" ht="34.049999999999997" customHeight="1" x14ac:dyDescent="0.3">
      <c r="A220" s="21"/>
      <c r="B220" s="67"/>
      <c r="C220" s="67"/>
      <c r="D220" s="56"/>
      <c r="E220" s="21"/>
      <c r="F220" s="21"/>
      <c r="G220" s="21"/>
      <c r="H220" s="21"/>
      <c r="I220" s="21"/>
      <c r="J220" s="21"/>
      <c r="K220" s="21"/>
    </row>
    <row r="221" spans="1:11" ht="34.049999999999997" customHeight="1" x14ac:dyDescent="0.3">
      <c r="A221" s="21"/>
      <c r="B221" s="67"/>
      <c r="C221" s="67"/>
      <c r="D221" s="56"/>
      <c r="E221" s="21"/>
      <c r="F221" s="21"/>
      <c r="G221" s="21"/>
      <c r="H221" s="21"/>
      <c r="I221" s="21"/>
      <c r="J221" s="21"/>
      <c r="K221" s="21"/>
    </row>
    <row r="222" spans="1:11" ht="34.049999999999997" customHeight="1" x14ac:dyDescent="0.3">
      <c r="A222" s="21"/>
      <c r="B222" s="67"/>
      <c r="C222" s="67"/>
      <c r="D222" s="56"/>
      <c r="E222" s="21"/>
      <c r="F222" s="21"/>
      <c r="G222" s="21"/>
      <c r="H222" s="21"/>
      <c r="I222" s="21"/>
      <c r="J222" s="21"/>
      <c r="K222" s="21"/>
    </row>
    <row r="223" spans="1:11" ht="34.049999999999997" customHeight="1" x14ac:dyDescent="0.3">
      <c r="A223" s="21"/>
      <c r="B223" s="67"/>
      <c r="C223" s="67"/>
      <c r="D223" s="56"/>
      <c r="E223" s="21"/>
      <c r="F223" s="21"/>
      <c r="G223" s="21"/>
      <c r="H223" s="21"/>
      <c r="I223" s="21"/>
      <c r="J223" s="21"/>
      <c r="K223" s="21"/>
    </row>
    <row r="224" spans="1:11" ht="34.049999999999997" customHeight="1" x14ac:dyDescent="0.3">
      <c r="A224" s="21"/>
      <c r="B224" s="67"/>
      <c r="C224" s="67"/>
      <c r="D224" s="56"/>
      <c r="E224" s="21"/>
      <c r="F224" s="21"/>
      <c r="G224" s="21"/>
      <c r="H224" s="21"/>
      <c r="I224" s="21"/>
      <c r="J224" s="21"/>
      <c r="K224" s="21"/>
    </row>
    <row r="225" spans="1:11" ht="34.049999999999997" customHeight="1" x14ac:dyDescent="0.3">
      <c r="A225" s="21"/>
      <c r="B225" s="67"/>
      <c r="C225" s="67"/>
      <c r="D225" s="56"/>
      <c r="E225" s="21"/>
      <c r="F225" s="21"/>
      <c r="G225" s="21"/>
      <c r="H225" s="21"/>
      <c r="I225" s="21"/>
      <c r="J225" s="21"/>
      <c r="K225" s="21"/>
    </row>
    <row r="226" spans="1:11" ht="34.049999999999997" customHeight="1" x14ac:dyDescent="0.3">
      <c r="A226" s="21"/>
      <c r="B226" s="67"/>
      <c r="C226" s="67"/>
      <c r="D226" s="56"/>
      <c r="E226" s="21"/>
      <c r="F226" s="21"/>
      <c r="G226" s="21"/>
      <c r="H226" s="21"/>
      <c r="I226" s="21"/>
      <c r="J226" s="21"/>
      <c r="K226" s="21"/>
    </row>
    <row r="227" spans="1:11" ht="34.049999999999997" customHeight="1" x14ac:dyDescent="0.3">
      <c r="A227" s="21"/>
      <c r="B227" s="67"/>
      <c r="C227" s="67"/>
      <c r="D227" s="56"/>
      <c r="E227" s="21"/>
      <c r="F227" s="21"/>
      <c r="G227" s="21"/>
      <c r="H227" s="21"/>
      <c r="I227" s="21"/>
      <c r="J227" s="21"/>
      <c r="K227" s="21"/>
    </row>
    <row r="228" spans="1:11" ht="34.049999999999997" customHeight="1" x14ac:dyDescent="0.3">
      <c r="A228" s="21"/>
      <c r="B228" s="67"/>
      <c r="C228" s="67"/>
      <c r="D228" s="56"/>
      <c r="E228" s="21"/>
      <c r="F228" s="21"/>
      <c r="G228" s="21"/>
      <c r="H228" s="21"/>
      <c r="I228" s="21"/>
      <c r="J228" s="21"/>
      <c r="K228" s="21"/>
    </row>
    <row r="229" spans="1:11" ht="34.049999999999997" customHeight="1" x14ac:dyDescent="0.3">
      <c r="A229" s="21"/>
      <c r="B229" s="67"/>
      <c r="C229" s="67"/>
      <c r="D229" s="56"/>
      <c r="E229" s="21"/>
      <c r="F229" s="21"/>
      <c r="G229" s="21"/>
      <c r="H229" s="21"/>
      <c r="I229" s="21"/>
      <c r="J229" s="21"/>
      <c r="K229" s="21"/>
    </row>
    <row r="230" spans="1:11" ht="34.049999999999997" customHeight="1" x14ac:dyDescent="0.3">
      <c r="A230" s="21"/>
      <c r="B230" s="67"/>
      <c r="C230" s="67"/>
      <c r="D230" s="56"/>
      <c r="E230" s="21"/>
      <c r="F230" s="21"/>
      <c r="G230" s="21"/>
      <c r="H230" s="21"/>
      <c r="I230" s="21"/>
      <c r="J230" s="21"/>
      <c r="K230" s="21"/>
    </row>
    <row r="231" spans="1:11" ht="34.049999999999997" customHeight="1" x14ac:dyDescent="0.3">
      <c r="A231" s="21"/>
      <c r="B231" s="67"/>
      <c r="C231" s="67"/>
      <c r="D231" s="56"/>
      <c r="E231" s="21"/>
      <c r="F231" s="21"/>
      <c r="G231" s="21"/>
      <c r="H231" s="21"/>
      <c r="I231" s="21"/>
      <c r="J231" s="21"/>
      <c r="K231" s="21"/>
    </row>
    <row r="232" spans="1:11" ht="34.049999999999997" customHeight="1" x14ac:dyDescent="0.3">
      <c r="A232" s="21"/>
      <c r="B232" s="67"/>
      <c r="C232" s="67"/>
      <c r="D232" s="56"/>
      <c r="E232" s="21"/>
      <c r="F232" s="21"/>
      <c r="G232" s="21"/>
      <c r="H232" s="21"/>
      <c r="I232" s="21"/>
      <c r="J232" s="21"/>
      <c r="K232" s="21"/>
    </row>
    <row r="233" spans="1:11" ht="34.049999999999997" customHeight="1" x14ac:dyDescent="0.3">
      <c r="A233" s="21"/>
      <c r="B233" s="67"/>
      <c r="C233" s="67"/>
      <c r="D233" s="56"/>
      <c r="E233" s="21"/>
      <c r="F233" s="21"/>
      <c r="G233" s="21"/>
      <c r="H233" s="21"/>
      <c r="I233" s="21"/>
      <c r="J233" s="21"/>
      <c r="K233" s="21"/>
    </row>
    <row r="234" spans="1:11" ht="34.049999999999997" customHeight="1" x14ac:dyDescent="0.3">
      <c r="A234" s="21"/>
      <c r="B234" s="67"/>
      <c r="C234" s="67"/>
      <c r="D234" s="56"/>
      <c r="E234" s="21"/>
      <c r="F234" s="21"/>
      <c r="G234" s="21"/>
      <c r="H234" s="21"/>
      <c r="I234" s="21"/>
      <c r="J234" s="21"/>
      <c r="K234" s="21"/>
    </row>
    <row r="235" spans="1:11" ht="34.049999999999997" customHeight="1" x14ac:dyDescent="0.3">
      <c r="A235" s="21"/>
      <c r="B235" s="67"/>
      <c r="C235" s="67"/>
      <c r="D235" s="56"/>
      <c r="E235" s="21"/>
      <c r="F235" s="21"/>
      <c r="G235" s="21"/>
      <c r="H235" s="21"/>
      <c r="I235" s="21"/>
      <c r="J235" s="21"/>
      <c r="K235" s="21"/>
    </row>
    <row r="236" spans="1:11" ht="34.049999999999997" customHeight="1" x14ac:dyDescent="0.3">
      <c r="A236" s="21"/>
      <c r="B236" s="67"/>
      <c r="C236" s="67"/>
      <c r="D236" s="56"/>
      <c r="E236" s="21"/>
      <c r="F236" s="21"/>
      <c r="G236" s="21"/>
      <c r="H236" s="21"/>
      <c r="I236" s="21"/>
      <c r="J236" s="21"/>
      <c r="K236" s="21"/>
    </row>
    <row r="237" spans="1:11" ht="34.049999999999997" customHeight="1" x14ac:dyDescent="0.3">
      <c r="A237" s="21"/>
      <c r="B237" s="67"/>
      <c r="C237" s="67"/>
      <c r="D237" s="56"/>
      <c r="E237" s="21"/>
      <c r="F237" s="21"/>
      <c r="G237" s="21"/>
      <c r="H237" s="21"/>
      <c r="I237" s="21"/>
      <c r="J237" s="21"/>
      <c r="K237" s="21"/>
    </row>
    <row r="238" spans="1:11" ht="34.049999999999997" customHeight="1" x14ac:dyDescent="0.3">
      <c r="A238" s="21"/>
      <c r="B238" s="67"/>
      <c r="C238" s="67"/>
      <c r="D238" s="56"/>
      <c r="E238" s="21"/>
      <c r="F238" s="21"/>
      <c r="G238" s="21"/>
      <c r="H238" s="21"/>
      <c r="I238" s="21"/>
      <c r="J238" s="21"/>
      <c r="K238" s="21"/>
    </row>
    <row r="239" spans="1:11" ht="34.049999999999997" customHeight="1" x14ac:dyDescent="0.3">
      <c r="A239" s="21"/>
      <c r="B239" s="67"/>
      <c r="C239" s="67"/>
      <c r="D239" s="56"/>
      <c r="E239" s="21"/>
      <c r="F239" s="21"/>
      <c r="G239" s="21"/>
      <c r="H239" s="21"/>
      <c r="I239" s="21"/>
      <c r="J239" s="21"/>
      <c r="K239" s="21"/>
    </row>
    <row r="240" spans="1:11" ht="34.049999999999997" customHeight="1" x14ac:dyDescent="0.3">
      <c r="A240" s="21"/>
      <c r="B240" s="67"/>
      <c r="C240" s="67"/>
      <c r="D240" s="56"/>
      <c r="E240" s="21"/>
      <c r="F240" s="21"/>
      <c r="G240" s="21"/>
      <c r="H240" s="21"/>
      <c r="I240" s="21"/>
      <c r="J240" s="21"/>
      <c r="K240" s="21"/>
    </row>
    <row r="241" spans="1:11" ht="34.049999999999997" customHeight="1" x14ac:dyDescent="0.3">
      <c r="A241" s="21"/>
      <c r="B241" s="67"/>
      <c r="C241" s="67"/>
      <c r="D241" s="56"/>
      <c r="E241" s="21"/>
      <c r="F241" s="21"/>
      <c r="G241" s="21"/>
      <c r="H241" s="21"/>
      <c r="I241" s="21"/>
      <c r="J241" s="21"/>
      <c r="K241" s="21"/>
    </row>
    <row r="242" spans="1:11" ht="34.049999999999997" customHeight="1" x14ac:dyDescent="0.3">
      <c r="A242" s="21"/>
      <c r="B242" s="67"/>
      <c r="C242" s="67"/>
      <c r="D242" s="56"/>
      <c r="E242" s="21"/>
      <c r="F242" s="21"/>
      <c r="G242" s="21"/>
      <c r="H242" s="21"/>
      <c r="I242" s="21"/>
      <c r="J242" s="21"/>
      <c r="K242" s="21"/>
    </row>
    <row r="243" spans="1:11" ht="34.049999999999997" customHeight="1" x14ac:dyDescent="0.3">
      <c r="A243" s="21"/>
      <c r="B243" s="67"/>
      <c r="C243" s="67"/>
      <c r="D243" s="56"/>
      <c r="E243" s="21"/>
      <c r="F243" s="21"/>
      <c r="G243" s="21"/>
      <c r="H243" s="21"/>
      <c r="I243" s="21"/>
      <c r="J243" s="21"/>
      <c r="K243" s="21"/>
    </row>
    <row r="244" spans="1:11" ht="34.049999999999997" customHeight="1" x14ac:dyDescent="0.3">
      <c r="A244" s="21"/>
      <c r="B244" s="67"/>
      <c r="C244" s="67"/>
      <c r="D244" s="56"/>
      <c r="E244" s="21"/>
      <c r="F244" s="21"/>
      <c r="G244" s="21"/>
      <c r="H244" s="21"/>
      <c r="I244" s="21"/>
      <c r="J244" s="21"/>
      <c r="K244" s="21"/>
    </row>
    <row r="245" spans="1:11" ht="34.049999999999997" customHeight="1" x14ac:dyDescent="0.3">
      <c r="A245" s="21"/>
      <c r="B245" s="67"/>
      <c r="C245" s="67"/>
      <c r="D245" s="56"/>
      <c r="E245" s="21"/>
      <c r="F245" s="21"/>
      <c r="G245" s="21"/>
      <c r="H245" s="21"/>
      <c r="I245" s="21"/>
      <c r="J245" s="21"/>
      <c r="K245" s="21"/>
    </row>
    <row r="246" spans="1:11" ht="34.049999999999997" customHeight="1" x14ac:dyDescent="0.3">
      <c r="A246" s="21"/>
      <c r="B246" s="67"/>
      <c r="C246" s="67"/>
      <c r="D246" s="56"/>
      <c r="E246" s="21"/>
      <c r="F246" s="21"/>
      <c r="G246" s="21"/>
      <c r="H246" s="21"/>
      <c r="I246" s="21"/>
      <c r="J246" s="21"/>
      <c r="K246" s="21"/>
    </row>
    <row r="247" spans="1:11" ht="34.049999999999997" customHeight="1" x14ac:dyDescent="0.3">
      <c r="A247" s="21"/>
      <c r="B247" s="67"/>
      <c r="C247" s="67"/>
      <c r="D247" s="56"/>
      <c r="E247" s="21"/>
      <c r="F247" s="21"/>
      <c r="G247" s="21"/>
      <c r="H247" s="21"/>
      <c r="I247" s="21"/>
      <c r="J247" s="21"/>
      <c r="K247" s="21"/>
    </row>
    <row r="248" spans="1:11" ht="34.049999999999997" customHeight="1" x14ac:dyDescent="0.3">
      <c r="A248" s="21"/>
      <c r="B248" s="67"/>
      <c r="C248" s="67"/>
      <c r="D248" s="56"/>
      <c r="E248" s="21"/>
      <c r="F248" s="21"/>
      <c r="G248" s="21"/>
      <c r="H248" s="21"/>
      <c r="I248" s="21"/>
      <c r="J248" s="21"/>
      <c r="K248" s="21"/>
    </row>
    <row r="249" spans="1:11" ht="34.049999999999997" customHeight="1" x14ac:dyDescent="0.3">
      <c r="A249" s="21"/>
      <c r="B249" s="67"/>
      <c r="C249" s="67"/>
      <c r="D249" s="56"/>
      <c r="E249" s="21"/>
      <c r="F249" s="21"/>
      <c r="G249" s="21"/>
      <c r="H249" s="21"/>
      <c r="I249" s="21"/>
      <c r="J249" s="21"/>
      <c r="K249" s="21"/>
    </row>
    <row r="250" spans="1:11" ht="34.049999999999997" customHeight="1" x14ac:dyDescent="0.3">
      <c r="A250" s="21"/>
      <c r="B250" s="67"/>
      <c r="C250" s="67"/>
      <c r="D250" s="56"/>
      <c r="E250" s="21"/>
      <c r="F250" s="21"/>
      <c r="G250" s="21"/>
      <c r="H250" s="21"/>
      <c r="I250" s="21"/>
      <c r="J250" s="21"/>
      <c r="K250" s="21"/>
    </row>
    <row r="251" spans="1:11" ht="34.049999999999997" customHeight="1" x14ac:dyDescent="0.3">
      <c r="A251" s="21"/>
      <c r="B251" s="67"/>
      <c r="C251" s="67"/>
      <c r="D251" s="56"/>
      <c r="E251" s="21"/>
      <c r="F251" s="21"/>
      <c r="G251" s="21"/>
      <c r="H251" s="21"/>
      <c r="I251" s="21"/>
      <c r="J251" s="21"/>
      <c r="K251" s="21"/>
    </row>
    <row r="252" spans="1:11" ht="34.049999999999997" customHeight="1" x14ac:dyDescent="0.3">
      <c r="A252" s="21"/>
      <c r="B252" s="67"/>
      <c r="C252" s="67"/>
      <c r="D252" s="56"/>
      <c r="E252" s="21"/>
      <c r="F252" s="21"/>
      <c r="G252" s="21"/>
      <c r="H252" s="21"/>
      <c r="I252" s="21"/>
      <c r="J252" s="21"/>
      <c r="K252" s="21"/>
    </row>
    <row r="253" spans="1:11" ht="34.049999999999997" customHeight="1" x14ac:dyDescent="0.3">
      <c r="A253" s="21"/>
      <c r="B253" s="67"/>
      <c r="C253" s="67"/>
      <c r="D253" s="56"/>
      <c r="E253" s="21"/>
      <c r="F253" s="21"/>
      <c r="G253" s="21"/>
      <c r="H253" s="21"/>
      <c r="I253" s="21"/>
      <c r="J253" s="21"/>
      <c r="K253" s="21"/>
    </row>
    <row r="254" spans="1:11" ht="34.049999999999997" customHeight="1" x14ac:dyDescent="0.3">
      <c r="A254" s="21"/>
      <c r="B254" s="67"/>
      <c r="C254" s="67"/>
      <c r="D254" s="56"/>
      <c r="E254" s="21"/>
      <c r="F254" s="21"/>
      <c r="G254" s="21"/>
      <c r="H254" s="21"/>
      <c r="I254" s="21"/>
      <c r="J254" s="21"/>
      <c r="K254" s="21"/>
    </row>
    <row r="255" spans="1:11" ht="34.049999999999997" customHeight="1" x14ac:dyDescent="0.3">
      <c r="A255" s="21"/>
      <c r="B255" s="67"/>
      <c r="C255" s="67"/>
      <c r="D255" s="56"/>
      <c r="E255" s="21"/>
      <c r="F255" s="21"/>
      <c r="G255" s="21"/>
      <c r="H255" s="21"/>
      <c r="I255" s="21"/>
      <c r="J255" s="21"/>
      <c r="K255" s="21"/>
    </row>
    <row r="256" spans="1:11" ht="34.049999999999997" customHeight="1" x14ac:dyDescent="0.3">
      <c r="A256" s="21"/>
      <c r="B256" s="67"/>
      <c r="C256" s="67"/>
      <c r="D256" s="56"/>
      <c r="E256" s="21"/>
      <c r="F256" s="21"/>
      <c r="G256" s="21"/>
      <c r="H256" s="21"/>
      <c r="I256" s="21"/>
      <c r="J256" s="21"/>
      <c r="K256" s="21"/>
    </row>
    <row r="257" spans="1:11" ht="34.049999999999997" customHeight="1" x14ac:dyDescent="0.3">
      <c r="A257" s="21"/>
      <c r="B257" s="67"/>
      <c r="C257" s="67"/>
      <c r="D257" s="56"/>
      <c r="E257" s="21"/>
      <c r="F257" s="21"/>
      <c r="G257" s="21"/>
      <c r="H257" s="21"/>
      <c r="I257" s="21"/>
      <c r="J257" s="21"/>
      <c r="K257" s="21"/>
    </row>
    <row r="258" spans="1:11" ht="34.049999999999997" customHeight="1" x14ac:dyDescent="0.3">
      <c r="A258" s="21"/>
      <c r="B258" s="67"/>
      <c r="C258" s="67"/>
      <c r="D258" s="56"/>
      <c r="E258" s="21"/>
      <c r="F258" s="21"/>
      <c r="G258" s="21"/>
      <c r="H258" s="21"/>
      <c r="I258" s="21"/>
      <c r="J258" s="21"/>
      <c r="K258" s="21"/>
    </row>
    <row r="259" spans="1:11" ht="34.049999999999997" customHeight="1" x14ac:dyDescent="0.3">
      <c r="A259" s="21"/>
      <c r="B259" s="67"/>
      <c r="C259" s="67"/>
      <c r="D259" s="56"/>
      <c r="E259" s="21"/>
      <c r="F259" s="21"/>
      <c r="G259" s="21"/>
      <c r="H259" s="21"/>
      <c r="I259" s="21"/>
      <c r="J259" s="21"/>
      <c r="K259" s="21"/>
    </row>
    <row r="260" spans="1:11" ht="34.049999999999997" customHeight="1" x14ac:dyDescent="0.3">
      <c r="A260" s="21"/>
      <c r="B260" s="67"/>
      <c r="C260" s="67"/>
      <c r="D260" s="56"/>
      <c r="E260" s="21"/>
      <c r="F260" s="21"/>
      <c r="G260" s="21"/>
      <c r="H260" s="21"/>
      <c r="I260" s="21"/>
      <c r="J260" s="21"/>
      <c r="K260" s="21"/>
    </row>
    <row r="261" spans="1:11" ht="34.049999999999997" customHeight="1" x14ac:dyDescent="0.3">
      <c r="A261" s="21"/>
      <c r="B261" s="67"/>
      <c r="C261" s="67"/>
      <c r="D261" s="56"/>
      <c r="E261" s="21"/>
      <c r="F261" s="21"/>
      <c r="G261" s="21"/>
      <c r="H261" s="21"/>
      <c r="I261" s="21"/>
      <c r="J261" s="21"/>
      <c r="K261" s="21"/>
    </row>
    <row r="262" spans="1:11" ht="34.049999999999997" customHeight="1" x14ac:dyDescent="0.3">
      <c r="A262" s="21"/>
      <c r="B262" s="67"/>
      <c r="C262" s="67"/>
      <c r="D262" s="56"/>
      <c r="E262" s="21"/>
      <c r="F262" s="21"/>
      <c r="G262" s="21"/>
      <c r="H262" s="21"/>
      <c r="I262" s="21"/>
      <c r="J262" s="21"/>
      <c r="K262" s="21"/>
    </row>
    <row r="263" spans="1:11" ht="34.049999999999997" customHeight="1" x14ac:dyDescent="0.3">
      <c r="A263" s="21"/>
      <c r="B263" s="67"/>
      <c r="C263" s="67"/>
      <c r="D263" s="56"/>
      <c r="E263" s="21"/>
      <c r="F263" s="21"/>
      <c r="G263" s="21"/>
      <c r="H263" s="21"/>
      <c r="I263" s="21"/>
      <c r="J263" s="21"/>
      <c r="K263" s="21"/>
    </row>
    <row r="264" spans="1:11" ht="34.049999999999997" customHeight="1" x14ac:dyDescent="0.3">
      <c r="A264" s="21"/>
      <c r="B264" s="67"/>
      <c r="C264" s="67"/>
      <c r="D264" s="56"/>
      <c r="E264" s="21"/>
      <c r="F264" s="21"/>
      <c r="G264" s="21"/>
      <c r="H264" s="21"/>
      <c r="I264" s="21"/>
      <c r="J264" s="21"/>
      <c r="K264" s="21"/>
    </row>
    <row r="265" spans="1:11" ht="34.049999999999997" customHeight="1" x14ac:dyDescent="0.3">
      <c r="A265" s="21"/>
      <c r="B265" s="67"/>
      <c r="C265" s="67"/>
      <c r="D265" s="56"/>
      <c r="E265" s="21"/>
      <c r="F265" s="21"/>
      <c r="G265" s="21"/>
      <c r="H265" s="21"/>
      <c r="I265" s="21"/>
      <c r="J265" s="21"/>
      <c r="K265" s="21"/>
    </row>
    <row r="266" spans="1:11" ht="34.049999999999997" customHeight="1" x14ac:dyDescent="0.3">
      <c r="A266" s="21"/>
      <c r="B266" s="67"/>
      <c r="C266" s="67"/>
      <c r="D266" s="56"/>
      <c r="E266" s="21"/>
      <c r="F266" s="21"/>
      <c r="G266" s="21"/>
      <c r="H266" s="21"/>
      <c r="I266" s="21"/>
      <c r="J266" s="21"/>
      <c r="K266" s="21"/>
    </row>
    <row r="267" spans="1:11" ht="34.049999999999997" customHeight="1" x14ac:dyDescent="0.3">
      <c r="A267" s="21"/>
      <c r="B267" s="67"/>
      <c r="C267" s="67"/>
      <c r="D267" s="56"/>
      <c r="E267" s="21"/>
      <c r="F267" s="21"/>
      <c r="G267" s="21"/>
      <c r="H267" s="21"/>
      <c r="I267" s="21"/>
      <c r="J267" s="21"/>
      <c r="K267" s="21"/>
    </row>
    <row r="268" spans="1:11" ht="34.049999999999997" customHeight="1" x14ac:dyDescent="0.3">
      <c r="A268" s="21"/>
      <c r="B268" s="67"/>
      <c r="C268" s="67"/>
      <c r="D268" s="56"/>
      <c r="E268" s="21"/>
      <c r="F268" s="21"/>
      <c r="G268" s="21"/>
      <c r="H268" s="21"/>
      <c r="I268" s="21"/>
      <c r="J268" s="21"/>
      <c r="K268" s="21"/>
    </row>
    <row r="269" spans="1:11" ht="34.049999999999997" customHeight="1" x14ac:dyDescent="0.3">
      <c r="A269" s="21"/>
      <c r="B269" s="67"/>
      <c r="C269" s="67"/>
      <c r="D269" s="56"/>
      <c r="E269" s="21"/>
      <c r="F269" s="21"/>
      <c r="G269" s="21"/>
      <c r="H269" s="21"/>
      <c r="I269" s="21"/>
      <c r="J269" s="21"/>
      <c r="K269" s="21"/>
    </row>
    <row r="270" spans="1:11" ht="34.049999999999997" customHeight="1" x14ac:dyDescent="0.3">
      <c r="A270" s="21"/>
      <c r="B270" s="67"/>
      <c r="C270" s="67"/>
      <c r="D270" s="56"/>
      <c r="E270" s="21"/>
      <c r="F270" s="21"/>
      <c r="G270" s="21"/>
      <c r="H270" s="21"/>
      <c r="I270" s="21"/>
      <c r="J270" s="21"/>
      <c r="K270" s="21"/>
    </row>
    <row r="271" spans="1:11" ht="34.049999999999997" customHeight="1" x14ac:dyDescent="0.3">
      <c r="A271" s="21"/>
      <c r="B271" s="67"/>
      <c r="C271" s="67"/>
      <c r="D271" s="56"/>
      <c r="E271" s="21"/>
      <c r="F271" s="21"/>
      <c r="G271" s="21"/>
      <c r="H271" s="21"/>
      <c r="I271" s="21"/>
      <c r="J271" s="21"/>
      <c r="K271" s="21"/>
    </row>
    <row r="272" spans="1:11" ht="34.049999999999997" customHeight="1" x14ac:dyDescent="0.3">
      <c r="A272" s="21"/>
      <c r="B272" s="67"/>
      <c r="C272" s="67"/>
      <c r="D272" s="56"/>
      <c r="E272" s="21"/>
      <c r="F272" s="21"/>
      <c r="G272" s="21"/>
      <c r="H272" s="21"/>
      <c r="I272" s="21"/>
      <c r="J272" s="21"/>
      <c r="K272" s="21"/>
    </row>
    <row r="273" spans="1:11" ht="34.049999999999997" customHeight="1" x14ac:dyDescent="0.3">
      <c r="A273" s="21"/>
      <c r="B273" s="67"/>
      <c r="C273" s="67"/>
      <c r="D273" s="56"/>
      <c r="E273" s="21"/>
      <c r="F273" s="21"/>
      <c r="G273" s="21"/>
      <c r="H273" s="21"/>
      <c r="I273" s="21"/>
      <c r="J273" s="21"/>
      <c r="K273" s="21"/>
    </row>
    <row r="274" spans="1:11" ht="34.049999999999997" customHeight="1" x14ac:dyDescent="0.3">
      <c r="A274" s="21"/>
      <c r="B274" s="67"/>
      <c r="C274" s="67"/>
      <c r="D274" s="56"/>
      <c r="E274" s="21"/>
      <c r="F274" s="21"/>
      <c r="G274" s="21"/>
      <c r="H274" s="21"/>
      <c r="I274" s="21"/>
      <c r="J274" s="21"/>
      <c r="K274" s="21"/>
    </row>
    <row r="275" spans="1:11" ht="34.049999999999997" customHeight="1" x14ac:dyDescent="0.3">
      <c r="A275" s="21"/>
      <c r="B275" s="67"/>
      <c r="C275" s="67"/>
      <c r="D275" s="56"/>
      <c r="E275" s="21"/>
      <c r="F275" s="21"/>
      <c r="G275" s="21"/>
      <c r="H275" s="21"/>
      <c r="I275" s="21"/>
      <c r="J275" s="21"/>
      <c r="K275" s="21"/>
    </row>
    <row r="276" spans="1:11" ht="34.049999999999997" customHeight="1" x14ac:dyDescent="0.3">
      <c r="A276" s="21"/>
      <c r="B276" s="67"/>
      <c r="C276" s="67"/>
      <c r="D276" s="56"/>
      <c r="E276" s="21"/>
      <c r="F276" s="21"/>
      <c r="G276" s="21"/>
      <c r="H276" s="21"/>
      <c r="I276" s="21"/>
      <c r="J276" s="21"/>
      <c r="K276" s="21"/>
    </row>
    <row r="277" spans="1:11" ht="34.049999999999997" customHeight="1" x14ac:dyDescent="0.3">
      <c r="A277" s="21"/>
      <c r="B277" s="67"/>
      <c r="C277" s="67"/>
      <c r="D277" s="56"/>
      <c r="E277" s="21"/>
      <c r="F277" s="21"/>
      <c r="G277" s="21"/>
      <c r="H277" s="21"/>
      <c r="I277" s="21"/>
      <c r="J277" s="21"/>
      <c r="K277" s="21"/>
    </row>
    <row r="278" spans="1:11" ht="34.049999999999997" customHeight="1" x14ac:dyDescent="0.3">
      <c r="A278" s="21"/>
      <c r="B278" s="67"/>
      <c r="C278" s="67"/>
      <c r="D278" s="56"/>
      <c r="E278" s="21"/>
      <c r="F278" s="21"/>
      <c r="G278" s="21"/>
      <c r="H278" s="21"/>
      <c r="I278" s="21"/>
      <c r="J278" s="21"/>
      <c r="K278" s="21"/>
    </row>
    <row r="279" spans="1:11" ht="34.049999999999997" customHeight="1" x14ac:dyDescent="0.3">
      <c r="A279" s="21"/>
      <c r="B279" s="67"/>
      <c r="C279" s="67"/>
      <c r="D279" s="56"/>
      <c r="E279" s="21"/>
      <c r="F279" s="21"/>
      <c r="G279" s="21"/>
      <c r="H279" s="21"/>
      <c r="I279" s="21"/>
      <c r="J279" s="21"/>
      <c r="K279" s="21"/>
    </row>
    <row r="280" spans="1:11" ht="34.049999999999997" customHeight="1" x14ac:dyDescent="0.3">
      <c r="A280" s="21"/>
      <c r="B280" s="67"/>
      <c r="C280" s="67"/>
      <c r="D280" s="56"/>
      <c r="E280" s="21"/>
      <c r="F280" s="21"/>
      <c r="G280" s="21"/>
      <c r="H280" s="21"/>
      <c r="I280" s="21"/>
      <c r="J280" s="21"/>
      <c r="K280" s="21"/>
    </row>
    <row r="281" spans="1:11" ht="34.049999999999997" customHeight="1" x14ac:dyDescent="0.3">
      <c r="A281" s="21"/>
      <c r="B281" s="67"/>
      <c r="C281" s="67"/>
      <c r="D281" s="56"/>
      <c r="E281" s="21"/>
      <c r="F281" s="21"/>
      <c r="G281" s="21"/>
      <c r="H281" s="21"/>
      <c r="I281" s="21"/>
      <c r="J281" s="21"/>
      <c r="K281" s="21"/>
    </row>
    <row r="282" spans="1:11" ht="34.049999999999997" customHeight="1" x14ac:dyDescent="0.3">
      <c r="A282" s="21"/>
      <c r="B282" s="67"/>
      <c r="C282" s="67"/>
      <c r="D282" s="56"/>
      <c r="E282" s="21"/>
      <c r="F282" s="21"/>
      <c r="G282" s="21"/>
      <c r="H282" s="21"/>
      <c r="I282" s="21"/>
      <c r="J282" s="21"/>
      <c r="K282" s="21"/>
    </row>
    <row r="283" spans="1:11" ht="34.049999999999997" customHeight="1" x14ac:dyDescent="0.3">
      <c r="A283" s="21"/>
      <c r="B283" s="67"/>
      <c r="C283" s="67"/>
      <c r="D283" s="56"/>
      <c r="E283" s="21"/>
      <c r="F283" s="21"/>
      <c r="G283" s="21"/>
      <c r="H283" s="21"/>
      <c r="I283" s="21"/>
      <c r="J283" s="21"/>
      <c r="K283" s="21"/>
    </row>
    <row r="284" spans="1:11" ht="34.049999999999997" customHeight="1" x14ac:dyDescent="0.3">
      <c r="A284" s="21"/>
      <c r="B284" s="67"/>
      <c r="C284" s="67"/>
      <c r="D284" s="56"/>
      <c r="E284" s="21"/>
      <c r="F284" s="21"/>
      <c r="G284" s="21"/>
      <c r="H284" s="21"/>
      <c r="I284" s="21"/>
      <c r="J284" s="21"/>
      <c r="K284" s="21"/>
    </row>
    <row r="285" spans="1:11" ht="34.049999999999997" customHeight="1" x14ac:dyDescent="0.3">
      <c r="A285" s="21"/>
      <c r="B285" s="67"/>
      <c r="C285" s="67"/>
      <c r="D285" s="56"/>
      <c r="E285" s="21"/>
      <c r="F285" s="21"/>
      <c r="G285" s="21"/>
      <c r="H285" s="21"/>
      <c r="I285" s="21"/>
      <c r="J285" s="21"/>
      <c r="K285" s="21"/>
    </row>
    <row r="286" spans="1:11" ht="34.049999999999997" customHeight="1" x14ac:dyDescent="0.3">
      <c r="A286" s="21"/>
      <c r="B286" s="67"/>
      <c r="C286" s="67"/>
      <c r="D286" s="56"/>
      <c r="E286" s="21"/>
      <c r="F286" s="21"/>
      <c r="G286" s="21"/>
      <c r="H286" s="21"/>
      <c r="I286" s="21"/>
      <c r="J286" s="21"/>
      <c r="K286" s="21"/>
    </row>
    <row r="287" spans="1:11" ht="34.049999999999997" customHeight="1" x14ac:dyDescent="0.3">
      <c r="A287" s="21"/>
      <c r="B287" s="67"/>
      <c r="C287" s="67"/>
      <c r="D287" s="56"/>
      <c r="E287" s="21"/>
      <c r="F287" s="21"/>
      <c r="G287" s="21"/>
      <c r="H287" s="21"/>
      <c r="I287" s="21"/>
      <c r="J287" s="21"/>
      <c r="K287" s="21"/>
    </row>
    <row r="288" spans="1:11" ht="34.049999999999997" customHeight="1" x14ac:dyDescent="0.3">
      <c r="A288" s="21"/>
      <c r="B288" s="67"/>
      <c r="C288" s="67"/>
      <c r="D288" s="56"/>
      <c r="E288" s="21"/>
      <c r="F288" s="21"/>
      <c r="G288" s="21"/>
      <c r="H288" s="21"/>
      <c r="I288" s="21"/>
      <c r="J288" s="21"/>
      <c r="K288" s="21"/>
    </row>
    <row r="289" spans="1:11" ht="34.049999999999997" customHeight="1" x14ac:dyDescent="0.3">
      <c r="A289" s="21"/>
      <c r="B289" s="67"/>
      <c r="C289" s="67"/>
      <c r="D289" s="56"/>
      <c r="E289" s="21"/>
      <c r="F289" s="21"/>
      <c r="G289" s="21"/>
      <c r="H289" s="21"/>
      <c r="I289" s="21"/>
      <c r="J289" s="21"/>
      <c r="K289" s="21"/>
    </row>
    <row r="290" spans="1:11" ht="34.049999999999997" customHeight="1" x14ac:dyDescent="0.3">
      <c r="A290" s="21"/>
      <c r="B290" s="67"/>
      <c r="C290" s="67"/>
      <c r="D290" s="56"/>
      <c r="E290" s="21"/>
      <c r="F290" s="21"/>
      <c r="G290" s="21"/>
      <c r="H290" s="21"/>
      <c r="I290" s="21"/>
      <c r="J290" s="21"/>
      <c r="K290" s="21"/>
    </row>
    <row r="291" spans="1:11" ht="34.049999999999997" customHeight="1" x14ac:dyDescent="0.3">
      <c r="A291" s="21"/>
      <c r="B291" s="67"/>
      <c r="C291" s="67"/>
      <c r="D291" s="56"/>
      <c r="E291" s="21"/>
      <c r="F291" s="21"/>
      <c r="G291" s="21"/>
      <c r="H291" s="21"/>
      <c r="I291" s="21"/>
      <c r="J291" s="21"/>
      <c r="K291" s="21"/>
    </row>
    <row r="292" spans="1:11" ht="34.049999999999997" customHeight="1" x14ac:dyDescent="0.3">
      <c r="A292" s="21"/>
      <c r="B292" s="67"/>
      <c r="C292" s="67"/>
      <c r="D292" s="56"/>
      <c r="E292" s="21"/>
      <c r="F292" s="21"/>
      <c r="G292" s="21"/>
      <c r="H292" s="21"/>
      <c r="I292" s="21"/>
      <c r="J292" s="21"/>
      <c r="K292" s="21"/>
    </row>
    <row r="293" spans="1:11" ht="34.049999999999997" customHeight="1" x14ac:dyDescent="0.3">
      <c r="A293" s="21"/>
      <c r="B293" s="67"/>
      <c r="C293" s="67"/>
      <c r="D293" s="56"/>
      <c r="E293" s="21"/>
      <c r="F293" s="21"/>
      <c r="G293" s="21"/>
      <c r="H293" s="21"/>
      <c r="I293" s="21"/>
      <c r="J293" s="21"/>
      <c r="K293" s="21"/>
    </row>
    <row r="294" spans="1:11" ht="34.049999999999997" customHeight="1" x14ac:dyDescent="0.3">
      <c r="A294" s="21"/>
      <c r="B294" s="67"/>
      <c r="C294" s="67"/>
      <c r="D294" s="56"/>
      <c r="E294" s="21"/>
      <c r="F294" s="21"/>
      <c r="G294" s="21"/>
      <c r="H294" s="21"/>
      <c r="I294" s="21"/>
      <c r="J294" s="21"/>
      <c r="K294" s="21"/>
    </row>
    <row r="295" spans="1:11" ht="34.049999999999997" customHeight="1" x14ac:dyDescent="0.3">
      <c r="A295" s="21"/>
      <c r="B295" s="67"/>
      <c r="C295" s="67"/>
      <c r="D295" s="56"/>
      <c r="E295" s="21"/>
      <c r="F295" s="21"/>
      <c r="G295" s="21"/>
      <c r="H295" s="21"/>
      <c r="I295" s="21"/>
      <c r="J295" s="21"/>
      <c r="K295" s="21"/>
    </row>
    <row r="296" spans="1:11" ht="34.049999999999997" customHeight="1" x14ac:dyDescent="0.3">
      <c r="A296" s="21"/>
      <c r="B296" s="67"/>
      <c r="C296" s="67"/>
      <c r="D296" s="56"/>
      <c r="E296" s="21"/>
      <c r="F296" s="21"/>
      <c r="G296" s="21"/>
      <c r="H296" s="21"/>
      <c r="I296" s="21"/>
      <c r="J296" s="21"/>
      <c r="K296" s="21"/>
    </row>
    <row r="297" spans="1:11" ht="34.049999999999997" customHeight="1" x14ac:dyDescent="0.3">
      <c r="A297" s="21"/>
      <c r="B297" s="67"/>
      <c r="C297" s="67"/>
      <c r="D297" s="56"/>
      <c r="E297" s="21"/>
      <c r="F297" s="21"/>
      <c r="G297" s="21"/>
      <c r="H297" s="21"/>
      <c r="I297" s="21"/>
      <c r="J297" s="21"/>
      <c r="K297" s="21"/>
    </row>
    <row r="298" spans="1:11" ht="34.049999999999997" customHeight="1" x14ac:dyDescent="0.3">
      <c r="A298" s="21"/>
      <c r="B298" s="67"/>
      <c r="C298" s="67"/>
      <c r="D298" s="56"/>
      <c r="E298" s="21"/>
      <c r="F298" s="21"/>
      <c r="G298" s="21"/>
      <c r="H298" s="21"/>
      <c r="I298" s="21"/>
      <c r="J298" s="21"/>
      <c r="K298" s="21"/>
    </row>
    <row r="299" spans="1:11" ht="34.049999999999997" customHeight="1" x14ac:dyDescent="0.3">
      <c r="A299" s="21"/>
      <c r="B299" s="67"/>
      <c r="C299" s="67"/>
      <c r="D299" s="56"/>
      <c r="E299" s="21"/>
      <c r="F299" s="21"/>
      <c r="G299" s="21"/>
      <c r="H299" s="21"/>
      <c r="I299" s="21"/>
      <c r="J299" s="21"/>
      <c r="K299" s="21"/>
    </row>
    <row r="300" spans="1:11" ht="34.049999999999997" customHeight="1" x14ac:dyDescent="0.3">
      <c r="A300" s="21"/>
      <c r="B300" s="67"/>
      <c r="C300" s="67"/>
      <c r="D300" s="56"/>
      <c r="E300" s="21"/>
      <c r="F300" s="21"/>
      <c r="G300" s="21"/>
      <c r="H300" s="21"/>
      <c r="I300" s="21"/>
      <c r="J300" s="21"/>
      <c r="K300" s="21"/>
    </row>
    <row r="301" spans="1:11" ht="34.049999999999997" customHeight="1" x14ac:dyDescent="0.3">
      <c r="A301" s="21"/>
      <c r="B301" s="67"/>
      <c r="C301" s="67"/>
      <c r="D301" s="56"/>
      <c r="E301" s="21"/>
      <c r="F301" s="21"/>
      <c r="G301" s="21"/>
      <c r="H301" s="21"/>
      <c r="I301" s="21"/>
      <c r="J301" s="21"/>
      <c r="K301" s="21"/>
    </row>
    <row r="302" spans="1:11" ht="34.049999999999997" customHeight="1" x14ac:dyDescent="0.3">
      <c r="A302" s="21"/>
      <c r="B302" s="67"/>
      <c r="C302" s="67"/>
      <c r="D302" s="56"/>
      <c r="E302" s="21"/>
      <c r="F302" s="21"/>
      <c r="G302" s="21"/>
      <c r="H302" s="21"/>
      <c r="I302" s="21"/>
      <c r="J302" s="21"/>
      <c r="K302" s="21"/>
    </row>
    <row r="303" spans="1:11" ht="34.049999999999997" customHeight="1" x14ac:dyDescent="0.3">
      <c r="A303" s="21"/>
      <c r="B303" s="67"/>
      <c r="C303" s="67"/>
      <c r="D303" s="56"/>
      <c r="E303" s="21"/>
      <c r="F303" s="21"/>
      <c r="G303" s="21"/>
      <c r="H303" s="21"/>
      <c r="I303" s="21"/>
      <c r="J303" s="21"/>
      <c r="K303" s="21"/>
    </row>
    <row r="304" spans="1:11" ht="34.049999999999997" customHeight="1" x14ac:dyDescent="0.3">
      <c r="A304" s="21"/>
      <c r="B304" s="67"/>
      <c r="C304" s="67"/>
      <c r="D304" s="56"/>
      <c r="E304" s="21"/>
      <c r="F304" s="21"/>
      <c r="G304" s="21"/>
      <c r="H304" s="21"/>
      <c r="I304" s="21"/>
      <c r="J304" s="21"/>
      <c r="K304" s="21"/>
    </row>
    <row r="305" spans="1:11" ht="34.049999999999997" customHeight="1" x14ac:dyDescent="0.3">
      <c r="A305" s="21"/>
      <c r="B305" s="67"/>
      <c r="C305" s="67"/>
      <c r="D305" s="56"/>
      <c r="E305" s="21"/>
      <c r="F305" s="21"/>
      <c r="G305" s="21"/>
      <c r="H305" s="21"/>
      <c r="I305" s="21"/>
      <c r="J305" s="21"/>
      <c r="K305" s="21"/>
    </row>
    <row r="306" spans="1:11" ht="34.049999999999997" customHeight="1" x14ac:dyDescent="0.3">
      <c r="A306" s="21"/>
      <c r="B306" s="67"/>
      <c r="C306" s="67"/>
      <c r="D306" s="56"/>
      <c r="E306" s="21"/>
      <c r="F306" s="21"/>
      <c r="G306" s="21"/>
      <c r="H306" s="21"/>
      <c r="I306" s="21"/>
      <c r="J306" s="21"/>
      <c r="K306" s="21"/>
    </row>
    <row r="307" spans="1:11" ht="34.049999999999997" customHeight="1" x14ac:dyDescent="0.3">
      <c r="A307" s="21"/>
      <c r="B307" s="67"/>
      <c r="C307" s="67"/>
      <c r="D307" s="56"/>
      <c r="E307" s="21"/>
      <c r="F307" s="21"/>
      <c r="G307" s="21"/>
      <c r="H307" s="21"/>
      <c r="I307" s="21"/>
      <c r="J307" s="21"/>
      <c r="K307" s="21"/>
    </row>
    <row r="308" spans="1:11" ht="34.049999999999997" customHeight="1" x14ac:dyDescent="0.3">
      <c r="A308" s="21"/>
      <c r="B308" s="67"/>
      <c r="C308" s="67"/>
      <c r="D308" s="56"/>
      <c r="E308" s="21"/>
      <c r="F308" s="21"/>
      <c r="G308" s="21"/>
      <c r="H308" s="21"/>
      <c r="I308" s="21"/>
      <c r="J308" s="21"/>
      <c r="K308" s="21"/>
    </row>
    <row r="309" spans="1:11" ht="34.049999999999997" customHeight="1" x14ac:dyDescent="0.3">
      <c r="A309" s="21"/>
      <c r="B309" s="67"/>
      <c r="C309" s="67"/>
      <c r="D309" s="56"/>
      <c r="E309" s="21"/>
      <c r="F309" s="21"/>
      <c r="G309" s="21"/>
      <c r="H309" s="21"/>
      <c r="I309" s="21"/>
      <c r="J309" s="21"/>
      <c r="K309" s="21"/>
    </row>
    <row r="310" spans="1:11" ht="34.049999999999997" customHeight="1" x14ac:dyDescent="0.3">
      <c r="A310" s="21"/>
      <c r="B310" s="67"/>
      <c r="C310" s="67"/>
      <c r="D310" s="56"/>
      <c r="E310" s="21"/>
      <c r="F310" s="21"/>
      <c r="G310" s="21"/>
      <c r="H310" s="21"/>
      <c r="I310" s="21"/>
      <c r="J310" s="21"/>
      <c r="K310" s="21"/>
    </row>
    <row r="311" spans="1:11" ht="34.049999999999997" customHeight="1" x14ac:dyDescent="0.3">
      <c r="A311" s="21"/>
      <c r="B311" s="67"/>
      <c r="C311" s="67"/>
      <c r="D311" s="56"/>
      <c r="E311" s="21"/>
      <c r="F311" s="21"/>
      <c r="G311" s="21"/>
      <c r="H311" s="21"/>
      <c r="I311" s="21"/>
      <c r="J311" s="21"/>
      <c r="K311" s="21"/>
    </row>
    <row r="312" spans="1:11" ht="34.049999999999997" customHeight="1" x14ac:dyDescent="0.3">
      <c r="A312" s="21"/>
      <c r="B312" s="67"/>
      <c r="C312" s="67"/>
      <c r="D312" s="56"/>
      <c r="E312" s="21"/>
      <c r="F312" s="21"/>
      <c r="G312" s="21"/>
      <c r="H312" s="21"/>
      <c r="I312" s="21"/>
      <c r="J312" s="21"/>
      <c r="K312" s="21"/>
    </row>
    <row r="313" spans="1:11" ht="34.049999999999997" customHeight="1" x14ac:dyDescent="0.3">
      <c r="A313" s="21"/>
      <c r="B313" s="67"/>
      <c r="C313" s="67"/>
      <c r="D313" s="56"/>
      <c r="E313" s="21"/>
      <c r="F313" s="21"/>
      <c r="G313" s="21"/>
      <c r="H313" s="21"/>
      <c r="I313" s="21"/>
      <c r="J313" s="21"/>
      <c r="K313" s="21"/>
    </row>
    <row r="314" spans="1:11" ht="34.049999999999997" customHeight="1" x14ac:dyDescent="0.3">
      <c r="A314" s="21"/>
      <c r="B314" s="67"/>
      <c r="C314" s="67"/>
      <c r="D314" s="56"/>
      <c r="E314" s="21"/>
      <c r="F314" s="21"/>
      <c r="G314" s="21"/>
      <c r="H314" s="21"/>
      <c r="I314" s="21"/>
      <c r="J314" s="21"/>
      <c r="K314" s="21"/>
    </row>
    <row r="315" spans="1:11" ht="34.049999999999997" customHeight="1" x14ac:dyDescent="0.3">
      <c r="A315" s="21"/>
      <c r="B315" s="67"/>
      <c r="C315" s="67"/>
      <c r="D315" s="56"/>
      <c r="E315" s="21"/>
      <c r="F315" s="21"/>
      <c r="G315" s="21"/>
      <c r="H315" s="21"/>
      <c r="I315" s="21"/>
      <c r="J315" s="21"/>
      <c r="K315" s="21"/>
    </row>
    <row r="316" spans="1:11" ht="34.049999999999997" customHeight="1" x14ac:dyDescent="0.3">
      <c r="A316" s="21"/>
      <c r="B316" s="67"/>
      <c r="C316" s="67"/>
      <c r="D316" s="56"/>
      <c r="E316" s="21"/>
      <c r="F316" s="21"/>
      <c r="G316" s="21"/>
      <c r="H316" s="21"/>
      <c r="I316" s="21"/>
      <c r="J316" s="21"/>
      <c r="K316" s="21"/>
    </row>
    <row r="317" spans="1:11" ht="34.049999999999997" customHeight="1" x14ac:dyDescent="0.3">
      <c r="A317" s="21"/>
      <c r="B317" s="67"/>
      <c r="C317" s="67"/>
      <c r="D317" s="56"/>
      <c r="E317" s="21"/>
      <c r="F317" s="21"/>
      <c r="G317" s="21"/>
      <c r="H317" s="21"/>
      <c r="I317" s="21"/>
      <c r="J317" s="21"/>
      <c r="K317" s="21"/>
    </row>
    <row r="318" spans="1:11" ht="34.049999999999997" customHeight="1" x14ac:dyDescent="0.3">
      <c r="A318" s="21"/>
      <c r="B318" s="67"/>
      <c r="C318" s="67"/>
      <c r="D318" s="56"/>
      <c r="E318" s="21"/>
      <c r="F318" s="21"/>
      <c r="G318" s="21"/>
      <c r="H318" s="21"/>
      <c r="I318" s="21"/>
      <c r="J318" s="21"/>
      <c r="K318" s="21"/>
    </row>
    <row r="319" spans="1:11" ht="34.049999999999997" customHeight="1" x14ac:dyDescent="0.3">
      <c r="A319" s="21"/>
      <c r="B319" s="67"/>
      <c r="C319" s="67"/>
      <c r="D319" s="56"/>
      <c r="E319" s="21"/>
      <c r="F319" s="21"/>
      <c r="G319" s="21"/>
      <c r="H319" s="21"/>
      <c r="I319" s="21"/>
      <c r="J319" s="21"/>
      <c r="K319" s="21"/>
    </row>
    <row r="320" spans="1:11" ht="34.049999999999997" customHeight="1" x14ac:dyDescent="0.3">
      <c r="A320" s="21"/>
      <c r="B320" s="67"/>
      <c r="C320" s="67"/>
      <c r="D320" s="56"/>
      <c r="E320" s="21"/>
      <c r="F320" s="21"/>
      <c r="G320" s="21"/>
      <c r="H320" s="21"/>
      <c r="I320" s="21"/>
      <c r="J320" s="21"/>
      <c r="K320" s="21"/>
    </row>
    <row r="321" spans="1:11" ht="34.049999999999997" customHeight="1" x14ac:dyDescent="0.3">
      <c r="A321" s="21"/>
      <c r="B321" s="67"/>
      <c r="C321" s="67"/>
      <c r="D321" s="56"/>
      <c r="E321" s="21"/>
      <c r="F321" s="21"/>
      <c r="G321" s="21"/>
      <c r="H321" s="21"/>
      <c r="I321" s="21"/>
      <c r="J321" s="21"/>
      <c r="K321" s="21"/>
    </row>
    <row r="322" spans="1:11" ht="34.049999999999997" customHeight="1" x14ac:dyDescent="0.3">
      <c r="A322" s="21"/>
      <c r="B322" s="67"/>
      <c r="C322" s="67"/>
      <c r="D322" s="56"/>
      <c r="E322" s="21"/>
      <c r="F322" s="21"/>
      <c r="G322" s="21"/>
      <c r="H322" s="21"/>
      <c r="I322" s="21"/>
      <c r="J322" s="21"/>
      <c r="K322" s="21"/>
    </row>
    <row r="323" spans="1:11" ht="34.049999999999997" customHeight="1" x14ac:dyDescent="0.3">
      <c r="A323" s="21"/>
      <c r="B323" s="67"/>
      <c r="C323" s="67"/>
      <c r="D323" s="56"/>
      <c r="E323" s="21"/>
      <c r="F323" s="21"/>
      <c r="G323" s="21"/>
      <c r="H323" s="21"/>
      <c r="I323" s="21"/>
      <c r="J323" s="21"/>
      <c r="K323" s="21"/>
    </row>
    <row r="324" spans="1:11" ht="34.049999999999997" customHeight="1" x14ac:dyDescent="0.3">
      <c r="A324" s="21"/>
      <c r="B324" s="67"/>
      <c r="C324" s="67"/>
      <c r="D324" s="56"/>
      <c r="E324" s="21"/>
      <c r="F324" s="21"/>
      <c r="G324" s="21"/>
      <c r="H324" s="21"/>
      <c r="I324" s="21"/>
      <c r="J324" s="21"/>
      <c r="K324" s="21"/>
    </row>
    <row r="325" spans="1:11" ht="34.049999999999997" customHeight="1" x14ac:dyDescent="0.3">
      <c r="A325" s="21"/>
      <c r="B325" s="67"/>
      <c r="C325" s="67"/>
      <c r="D325" s="56"/>
      <c r="E325" s="21"/>
      <c r="F325" s="21"/>
      <c r="G325" s="21"/>
      <c r="H325" s="21"/>
      <c r="I325" s="21"/>
      <c r="J325" s="21"/>
      <c r="K325" s="21"/>
    </row>
    <row r="326" spans="1:11" ht="34.049999999999997" customHeight="1" x14ac:dyDescent="0.3">
      <c r="A326" s="21"/>
      <c r="B326" s="67"/>
      <c r="C326" s="67"/>
      <c r="D326" s="56"/>
      <c r="E326" s="21"/>
      <c r="F326" s="21"/>
      <c r="G326" s="21"/>
      <c r="H326" s="21"/>
      <c r="I326" s="21"/>
      <c r="J326" s="21"/>
      <c r="K326" s="21"/>
    </row>
    <row r="327" spans="1:11" ht="34.049999999999997" customHeight="1" x14ac:dyDescent="0.3">
      <c r="A327" s="21"/>
      <c r="B327" s="67"/>
      <c r="C327" s="67"/>
      <c r="D327" s="56"/>
      <c r="E327" s="21"/>
      <c r="F327" s="21"/>
      <c r="G327" s="21"/>
      <c r="H327" s="21"/>
      <c r="I327" s="21"/>
      <c r="J327" s="21"/>
      <c r="K327" s="21"/>
    </row>
    <row r="328" spans="1:11" ht="34.049999999999997" customHeight="1" x14ac:dyDescent="0.3">
      <c r="A328" s="21"/>
      <c r="B328" s="67"/>
      <c r="C328" s="67"/>
      <c r="D328" s="56"/>
      <c r="E328" s="21"/>
      <c r="F328" s="21"/>
      <c r="G328" s="21"/>
      <c r="H328" s="21"/>
      <c r="I328" s="21"/>
      <c r="J328" s="21"/>
      <c r="K328" s="21"/>
    </row>
    <row r="329" spans="1:11" ht="34.049999999999997" customHeight="1" x14ac:dyDescent="0.3">
      <c r="A329" s="21"/>
      <c r="B329" s="67"/>
      <c r="C329" s="67"/>
      <c r="D329" s="56"/>
      <c r="E329" s="21"/>
      <c r="F329" s="21"/>
      <c r="G329" s="21"/>
      <c r="H329" s="21"/>
      <c r="I329" s="21"/>
      <c r="J329" s="21"/>
      <c r="K329" s="21"/>
    </row>
    <row r="330" spans="1:11" ht="34.049999999999997" customHeight="1" x14ac:dyDescent="0.3">
      <c r="A330" s="21"/>
      <c r="B330" s="67"/>
      <c r="C330" s="67"/>
      <c r="D330" s="56"/>
      <c r="E330" s="21"/>
      <c r="F330" s="21"/>
      <c r="G330" s="21"/>
      <c r="H330" s="21"/>
      <c r="I330" s="21"/>
      <c r="J330" s="21"/>
      <c r="K330" s="21"/>
    </row>
    <row r="331" spans="1:11" ht="34.049999999999997" customHeight="1" x14ac:dyDescent="0.3">
      <c r="A331" s="21"/>
      <c r="B331" s="67"/>
      <c r="C331" s="67"/>
      <c r="D331" s="56"/>
      <c r="E331" s="21"/>
      <c r="F331" s="21"/>
      <c r="G331" s="21"/>
      <c r="H331" s="21"/>
      <c r="I331" s="21"/>
      <c r="J331" s="21"/>
      <c r="K331" s="21"/>
    </row>
    <row r="332" spans="1:11" ht="34.049999999999997" customHeight="1" x14ac:dyDescent="0.3">
      <c r="A332" s="21"/>
      <c r="B332" s="67"/>
      <c r="C332" s="67"/>
      <c r="D332" s="56"/>
      <c r="E332" s="21"/>
      <c r="F332" s="21"/>
      <c r="G332" s="21"/>
      <c r="H332" s="21"/>
      <c r="I332" s="21"/>
      <c r="J332" s="21"/>
      <c r="K332" s="21"/>
    </row>
    <row r="333" spans="1:11" ht="34.049999999999997" customHeight="1" x14ac:dyDescent="0.3">
      <c r="A333" s="21"/>
      <c r="B333" s="67"/>
      <c r="C333" s="67"/>
      <c r="D333" s="56"/>
      <c r="E333" s="21"/>
      <c r="F333" s="21"/>
      <c r="G333" s="21"/>
      <c r="H333" s="21"/>
      <c r="I333" s="21"/>
      <c r="J333" s="21"/>
      <c r="K333" s="21"/>
    </row>
    <row r="334" spans="1:11" ht="34.049999999999997" customHeight="1" x14ac:dyDescent="0.3">
      <c r="A334" s="21"/>
      <c r="B334" s="67"/>
      <c r="C334" s="67"/>
      <c r="D334" s="56"/>
      <c r="E334" s="21"/>
      <c r="F334" s="21"/>
      <c r="G334" s="21"/>
      <c r="H334" s="21"/>
      <c r="I334" s="21"/>
      <c r="J334" s="21"/>
      <c r="K334" s="21"/>
    </row>
    <row r="335" spans="1:11" ht="34.049999999999997" customHeight="1" x14ac:dyDescent="0.3">
      <c r="A335" s="21"/>
      <c r="B335" s="67"/>
      <c r="C335" s="67"/>
      <c r="D335" s="56"/>
      <c r="E335" s="21"/>
      <c r="F335" s="21"/>
      <c r="G335" s="21"/>
      <c r="H335" s="21"/>
      <c r="I335" s="21"/>
      <c r="J335" s="21"/>
      <c r="K335" s="21"/>
    </row>
    <row r="336" spans="1:11" ht="34.049999999999997" customHeight="1" x14ac:dyDescent="0.3">
      <c r="A336" s="21"/>
      <c r="B336" s="67"/>
      <c r="C336" s="67"/>
      <c r="D336" s="56"/>
      <c r="E336" s="21"/>
      <c r="F336" s="21"/>
      <c r="G336" s="21"/>
      <c r="H336" s="21"/>
      <c r="I336" s="21"/>
      <c r="J336" s="21"/>
      <c r="K336" s="21"/>
    </row>
    <row r="337" spans="1:11" ht="34.049999999999997" customHeight="1" x14ac:dyDescent="0.3">
      <c r="A337" s="21"/>
      <c r="B337" s="67"/>
      <c r="C337" s="67"/>
      <c r="D337" s="56"/>
      <c r="E337" s="21"/>
      <c r="F337" s="21"/>
      <c r="G337" s="21"/>
      <c r="H337" s="21"/>
      <c r="I337" s="21"/>
      <c r="J337" s="21"/>
      <c r="K337" s="21"/>
    </row>
    <row r="338" spans="1:11" ht="34.049999999999997" customHeight="1" x14ac:dyDescent="0.3">
      <c r="A338" s="21"/>
      <c r="B338" s="67"/>
      <c r="C338" s="67"/>
      <c r="D338" s="56"/>
      <c r="E338" s="21"/>
      <c r="F338" s="21"/>
      <c r="G338" s="21"/>
      <c r="H338" s="21"/>
      <c r="I338" s="21"/>
      <c r="J338" s="21"/>
      <c r="K338" s="21"/>
    </row>
    <row r="339" spans="1:11" ht="34.049999999999997" customHeight="1" x14ac:dyDescent="0.3">
      <c r="A339" s="21"/>
      <c r="B339" s="67"/>
      <c r="C339" s="67"/>
      <c r="D339" s="56"/>
      <c r="E339" s="21"/>
      <c r="F339" s="21"/>
      <c r="G339" s="21"/>
      <c r="H339" s="21"/>
      <c r="I339" s="21"/>
      <c r="J339" s="21"/>
      <c r="K339" s="21"/>
    </row>
    <row r="340" spans="1:11" ht="34.049999999999997" customHeight="1" x14ac:dyDescent="0.3">
      <c r="A340" s="21"/>
      <c r="B340" s="67"/>
      <c r="C340" s="67"/>
      <c r="D340" s="56"/>
      <c r="E340" s="21"/>
      <c r="F340" s="21"/>
      <c r="G340" s="21"/>
      <c r="H340" s="21"/>
      <c r="I340" s="21"/>
      <c r="J340" s="21"/>
      <c r="K340" s="21"/>
    </row>
    <row r="341" spans="1:11" ht="34.049999999999997" customHeight="1" x14ac:dyDescent="0.3">
      <c r="A341" s="21"/>
      <c r="B341" s="67"/>
      <c r="C341" s="67"/>
      <c r="D341" s="56"/>
      <c r="E341" s="21"/>
      <c r="F341" s="21"/>
      <c r="G341" s="21"/>
      <c r="H341" s="21"/>
      <c r="I341" s="21"/>
      <c r="J341" s="21"/>
      <c r="K341" s="21"/>
    </row>
    <row r="342" spans="1:11" ht="34.049999999999997" customHeight="1" x14ac:dyDescent="0.3">
      <c r="A342" s="21"/>
      <c r="B342" s="67"/>
      <c r="C342" s="67"/>
      <c r="D342" s="56"/>
      <c r="E342" s="21"/>
      <c r="F342" s="21"/>
      <c r="G342" s="21"/>
      <c r="H342" s="21"/>
      <c r="I342" s="21"/>
      <c r="J342" s="21"/>
      <c r="K342" s="21"/>
    </row>
    <row r="343" spans="1:11" ht="34.049999999999997" customHeight="1" x14ac:dyDescent="0.3">
      <c r="A343" s="21"/>
      <c r="B343" s="67"/>
      <c r="C343" s="67"/>
      <c r="D343" s="56"/>
      <c r="E343" s="21"/>
      <c r="F343" s="21"/>
      <c r="G343" s="21"/>
      <c r="H343" s="21"/>
      <c r="I343" s="21"/>
      <c r="J343" s="21"/>
      <c r="K343" s="21"/>
    </row>
    <row r="344" spans="1:11" ht="34.049999999999997" customHeight="1" x14ac:dyDescent="0.3">
      <c r="A344" s="21"/>
      <c r="B344" s="67"/>
      <c r="C344" s="67"/>
      <c r="D344" s="56"/>
      <c r="E344" s="21"/>
      <c r="F344" s="21"/>
      <c r="G344" s="21"/>
      <c r="H344" s="21"/>
      <c r="I344" s="21"/>
      <c r="J344" s="21"/>
      <c r="K344" s="21"/>
    </row>
    <row r="345" spans="1:11" ht="34.049999999999997" customHeight="1" x14ac:dyDescent="0.3">
      <c r="A345" s="21"/>
      <c r="B345" s="67"/>
      <c r="C345" s="67"/>
      <c r="D345" s="56"/>
      <c r="E345" s="21"/>
      <c r="F345" s="21"/>
      <c r="G345" s="21"/>
      <c r="H345" s="21"/>
      <c r="I345" s="21"/>
      <c r="J345" s="21"/>
      <c r="K345" s="21"/>
    </row>
    <row r="346" spans="1:11" ht="34.049999999999997" customHeight="1" x14ac:dyDescent="0.3">
      <c r="A346" s="21"/>
      <c r="B346" s="67"/>
      <c r="C346" s="67"/>
      <c r="D346" s="56"/>
      <c r="E346" s="21"/>
      <c r="F346" s="21"/>
      <c r="G346" s="21"/>
      <c r="H346" s="21"/>
      <c r="I346" s="21"/>
      <c r="J346" s="21"/>
      <c r="K346" s="21"/>
    </row>
    <row r="347" spans="1:11" ht="34.049999999999997" customHeight="1" x14ac:dyDescent="0.3">
      <c r="A347" s="21"/>
      <c r="B347" s="67"/>
      <c r="C347" s="67"/>
      <c r="D347" s="56"/>
      <c r="E347" s="21"/>
      <c r="F347" s="21"/>
      <c r="G347" s="21"/>
      <c r="H347" s="21"/>
      <c r="I347" s="21"/>
      <c r="J347" s="21"/>
      <c r="K347" s="21"/>
    </row>
    <row r="348" spans="1:11" ht="34.049999999999997" customHeight="1" x14ac:dyDescent="0.3">
      <c r="A348" s="21"/>
      <c r="B348" s="67"/>
      <c r="C348" s="67"/>
      <c r="D348" s="56"/>
      <c r="E348" s="21"/>
      <c r="F348" s="21"/>
      <c r="G348" s="21"/>
      <c r="H348" s="21"/>
      <c r="I348" s="21"/>
      <c r="J348" s="21"/>
      <c r="K348" s="21"/>
    </row>
    <row r="349" spans="1:11" ht="34.049999999999997" customHeight="1" x14ac:dyDescent="0.3">
      <c r="A349" s="21"/>
      <c r="B349" s="67"/>
      <c r="C349" s="67"/>
      <c r="D349" s="56"/>
      <c r="E349" s="21"/>
      <c r="F349" s="21"/>
      <c r="G349" s="21"/>
      <c r="H349" s="21"/>
      <c r="I349" s="21"/>
      <c r="J349" s="21"/>
      <c r="K349" s="21"/>
    </row>
    <row r="350" spans="1:11" ht="34.049999999999997" customHeight="1" x14ac:dyDescent="0.3">
      <c r="A350" s="21"/>
      <c r="B350" s="67"/>
      <c r="C350" s="67"/>
      <c r="D350" s="56"/>
      <c r="E350" s="21"/>
      <c r="F350" s="21"/>
      <c r="G350" s="21"/>
      <c r="H350" s="21"/>
      <c r="I350" s="21"/>
      <c r="J350" s="21"/>
      <c r="K350" s="21"/>
    </row>
    <row r="351" spans="1:11" ht="34.049999999999997" customHeight="1" x14ac:dyDescent="0.3">
      <c r="A351" s="21"/>
      <c r="B351" s="67"/>
      <c r="C351" s="67"/>
      <c r="D351" s="56"/>
      <c r="E351" s="21"/>
      <c r="F351" s="21"/>
      <c r="G351" s="21"/>
      <c r="H351" s="21"/>
      <c r="I351" s="21"/>
      <c r="J351" s="21"/>
      <c r="K351" s="21"/>
    </row>
    <row r="352" spans="1:11" ht="34.049999999999997" customHeight="1" x14ac:dyDescent="0.3">
      <c r="A352" s="21"/>
      <c r="B352" s="67"/>
      <c r="C352" s="67"/>
      <c r="D352" s="56"/>
      <c r="E352" s="21"/>
      <c r="F352" s="21"/>
      <c r="G352" s="21"/>
      <c r="H352" s="21"/>
      <c r="I352" s="21"/>
      <c r="J352" s="21"/>
      <c r="K352" s="21"/>
    </row>
    <row r="353" spans="1:11" ht="34.049999999999997" customHeight="1" x14ac:dyDescent="0.3">
      <c r="A353" s="21"/>
      <c r="B353" s="67"/>
      <c r="C353" s="67"/>
      <c r="D353" s="56"/>
      <c r="E353" s="21"/>
      <c r="F353" s="21"/>
      <c r="G353" s="21"/>
      <c r="H353" s="21"/>
      <c r="I353" s="21"/>
      <c r="J353" s="21"/>
      <c r="K353" s="21"/>
    </row>
    <row r="354" spans="1:11" ht="34.049999999999997" customHeight="1" x14ac:dyDescent="0.3">
      <c r="A354" s="21"/>
      <c r="B354" s="67"/>
      <c r="C354" s="67"/>
      <c r="D354" s="56"/>
      <c r="E354" s="21"/>
      <c r="F354" s="21"/>
      <c r="G354" s="21"/>
      <c r="H354" s="21"/>
      <c r="I354" s="21"/>
      <c r="J354" s="21"/>
      <c r="K354" s="21"/>
    </row>
    <row r="355" spans="1:11" ht="34.049999999999997" customHeight="1" x14ac:dyDescent="0.3">
      <c r="A355" s="21"/>
      <c r="B355" s="67"/>
      <c r="C355" s="67"/>
      <c r="D355" s="56"/>
      <c r="E355" s="21"/>
      <c r="F355" s="21"/>
      <c r="G355" s="21"/>
      <c r="H355" s="21"/>
      <c r="I355" s="21"/>
      <c r="J355" s="21"/>
      <c r="K355" s="21"/>
    </row>
    <row r="356" spans="1:11" ht="34.049999999999997" customHeight="1" x14ac:dyDescent="0.3">
      <c r="A356" s="21"/>
      <c r="B356" s="67"/>
      <c r="C356" s="67"/>
      <c r="D356" s="56"/>
      <c r="E356" s="21"/>
      <c r="F356" s="21"/>
      <c r="G356" s="21"/>
      <c r="H356" s="21"/>
      <c r="I356" s="21"/>
      <c r="J356" s="21"/>
      <c r="K356" s="21"/>
    </row>
    <row r="357" spans="1:11" ht="34.049999999999997" customHeight="1" x14ac:dyDescent="0.3">
      <c r="A357" s="21"/>
      <c r="B357" s="67"/>
      <c r="C357" s="67"/>
      <c r="D357" s="56"/>
      <c r="E357" s="21"/>
      <c r="F357" s="21"/>
      <c r="G357" s="21"/>
      <c r="H357" s="21"/>
      <c r="I357" s="21"/>
      <c r="J357" s="21"/>
      <c r="K357" s="21"/>
    </row>
    <row r="358" spans="1:11" ht="34.049999999999997" customHeight="1" x14ac:dyDescent="0.3">
      <c r="A358" s="21"/>
      <c r="B358" s="67"/>
      <c r="C358" s="67"/>
      <c r="D358" s="56"/>
      <c r="E358" s="21"/>
      <c r="F358" s="21"/>
      <c r="G358" s="21"/>
      <c r="H358" s="21"/>
      <c r="I358" s="21"/>
      <c r="J358" s="21"/>
      <c r="K358" s="21"/>
    </row>
    <row r="359" spans="1:11" ht="34.049999999999997" customHeight="1" x14ac:dyDescent="0.3">
      <c r="A359" s="21"/>
      <c r="B359" s="67"/>
      <c r="C359" s="67"/>
      <c r="D359" s="56"/>
      <c r="E359" s="21"/>
      <c r="F359" s="21"/>
      <c r="G359" s="21"/>
      <c r="H359" s="21"/>
      <c r="I359" s="21"/>
      <c r="J359" s="21"/>
      <c r="K359" s="21"/>
    </row>
    <row r="360" spans="1:11" ht="34.049999999999997" customHeight="1" x14ac:dyDescent="0.3">
      <c r="A360" s="21"/>
      <c r="B360" s="67"/>
      <c r="C360" s="67"/>
      <c r="D360" s="56"/>
      <c r="E360" s="21"/>
      <c r="F360" s="21"/>
      <c r="G360" s="21"/>
      <c r="H360" s="21"/>
      <c r="I360" s="21"/>
      <c r="J360" s="21"/>
      <c r="K360" s="21"/>
    </row>
    <row r="361" spans="1:11" ht="34.049999999999997" customHeight="1" x14ac:dyDescent="0.3">
      <c r="A361" s="21"/>
      <c r="B361" s="67"/>
      <c r="C361" s="67"/>
      <c r="D361" s="56"/>
      <c r="E361" s="21"/>
      <c r="F361" s="21"/>
      <c r="G361" s="21"/>
      <c r="H361" s="21"/>
      <c r="I361" s="21"/>
      <c r="J361" s="21"/>
      <c r="K361" s="21"/>
    </row>
    <row r="362" spans="1:11" ht="34.049999999999997" customHeight="1" x14ac:dyDescent="0.3">
      <c r="A362" s="21"/>
      <c r="B362" s="67"/>
      <c r="C362" s="67"/>
      <c r="D362" s="56"/>
      <c r="E362" s="21"/>
      <c r="F362" s="21"/>
      <c r="G362" s="21"/>
      <c r="H362" s="21"/>
      <c r="I362" s="21"/>
      <c r="J362" s="21"/>
      <c r="K362" s="21"/>
    </row>
    <row r="363" spans="1:11" ht="34.049999999999997" customHeight="1" x14ac:dyDescent="0.3">
      <c r="A363" s="21"/>
      <c r="B363" s="67"/>
      <c r="C363" s="67"/>
      <c r="D363" s="56"/>
      <c r="E363" s="21"/>
      <c r="F363" s="21"/>
      <c r="G363" s="21"/>
      <c r="H363" s="21"/>
      <c r="I363" s="21"/>
      <c r="J363" s="21"/>
      <c r="K363" s="21"/>
    </row>
    <row r="364" spans="1:11" ht="34.049999999999997" customHeight="1" x14ac:dyDescent="0.3">
      <c r="A364" s="21"/>
      <c r="B364" s="67"/>
      <c r="C364" s="67"/>
      <c r="D364" s="56"/>
      <c r="E364" s="21"/>
      <c r="F364" s="21"/>
      <c r="G364" s="21"/>
      <c r="H364" s="21"/>
      <c r="I364" s="21"/>
      <c r="J364" s="21"/>
      <c r="K364" s="21"/>
    </row>
    <row r="365" spans="1:11" ht="34.049999999999997" customHeight="1" x14ac:dyDescent="0.3">
      <c r="A365" s="21"/>
      <c r="B365" s="67"/>
      <c r="C365" s="67"/>
      <c r="D365" s="56"/>
      <c r="E365" s="21"/>
      <c r="F365" s="21"/>
      <c r="G365" s="21"/>
      <c r="H365" s="21"/>
      <c r="I365" s="21"/>
      <c r="J365" s="21"/>
      <c r="K365" s="21"/>
    </row>
    <row r="366" spans="1:11" ht="34.049999999999997" customHeight="1" x14ac:dyDescent="0.3">
      <c r="A366" s="21"/>
      <c r="B366" s="67"/>
      <c r="C366" s="67"/>
      <c r="D366" s="56"/>
      <c r="E366" s="21"/>
      <c r="F366" s="21"/>
      <c r="G366" s="21"/>
      <c r="H366" s="21"/>
      <c r="I366" s="21"/>
      <c r="J366" s="21"/>
      <c r="K366" s="21"/>
    </row>
    <row r="367" spans="1:11" ht="34.049999999999997" customHeight="1" x14ac:dyDescent="0.3">
      <c r="A367" s="21"/>
      <c r="B367" s="67"/>
      <c r="C367" s="67"/>
      <c r="D367" s="56"/>
      <c r="E367" s="21"/>
      <c r="F367" s="21"/>
      <c r="G367" s="21"/>
      <c r="H367" s="21"/>
      <c r="I367" s="21"/>
      <c r="J367" s="21"/>
      <c r="K367" s="21"/>
    </row>
    <row r="368" spans="1:11" ht="34.049999999999997" customHeight="1" x14ac:dyDescent="0.3">
      <c r="A368" s="21"/>
      <c r="B368" s="67"/>
      <c r="C368" s="67"/>
      <c r="D368" s="56"/>
      <c r="E368" s="21"/>
      <c r="F368" s="21"/>
      <c r="G368" s="21"/>
      <c r="H368" s="21"/>
      <c r="I368" s="21"/>
      <c r="J368" s="21"/>
      <c r="K368" s="21"/>
    </row>
    <row r="369" spans="1:11" ht="34.049999999999997" customHeight="1" x14ac:dyDescent="0.3">
      <c r="A369" s="21"/>
      <c r="B369" s="67"/>
      <c r="C369" s="67"/>
      <c r="D369" s="56"/>
      <c r="E369" s="21"/>
      <c r="F369" s="21"/>
      <c r="G369" s="21"/>
      <c r="H369" s="21"/>
      <c r="I369" s="21"/>
      <c r="J369" s="21"/>
      <c r="K369" s="21"/>
    </row>
    <row r="370" spans="1:11" ht="34.049999999999997" customHeight="1" x14ac:dyDescent="0.3">
      <c r="A370" s="21"/>
      <c r="B370" s="67"/>
      <c r="C370" s="67"/>
      <c r="D370" s="56"/>
      <c r="E370" s="21"/>
      <c r="F370" s="21"/>
      <c r="G370" s="21"/>
      <c r="H370" s="21"/>
      <c r="I370" s="21"/>
      <c r="J370" s="21"/>
      <c r="K370" s="21"/>
    </row>
    <row r="371" spans="1:11" ht="34.049999999999997" customHeight="1" x14ac:dyDescent="0.3">
      <c r="A371" s="21"/>
      <c r="B371" s="67"/>
      <c r="C371" s="67"/>
      <c r="D371" s="56"/>
      <c r="E371" s="21"/>
      <c r="F371" s="21"/>
      <c r="G371" s="21"/>
      <c r="H371" s="21"/>
      <c r="I371" s="21"/>
      <c r="J371" s="21"/>
      <c r="K371" s="21"/>
    </row>
    <row r="372" spans="1:11" ht="34.049999999999997" customHeight="1" x14ac:dyDescent="0.3">
      <c r="A372" s="21"/>
      <c r="B372" s="67"/>
      <c r="C372" s="67"/>
      <c r="D372" s="56"/>
      <c r="E372" s="21"/>
      <c r="F372" s="21"/>
      <c r="G372" s="21"/>
      <c r="H372" s="21"/>
      <c r="I372" s="21"/>
      <c r="J372" s="21"/>
      <c r="K372" s="21"/>
    </row>
    <row r="373" spans="1:11" ht="34.049999999999997" customHeight="1" x14ac:dyDescent="0.3">
      <c r="A373" s="21"/>
      <c r="B373" s="67"/>
      <c r="C373" s="67"/>
      <c r="D373" s="56"/>
      <c r="E373" s="21"/>
      <c r="F373" s="21"/>
      <c r="G373" s="21"/>
      <c r="H373" s="21"/>
      <c r="I373" s="21"/>
      <c r="J373" s="21"/>
      <c r="K373" s="21"/>
    </row>
    <row r="374" spans="1:11" ht="34.049999999999997" customHeight="1" x14ac:dyDescent="0.3">
      <c r="A374" s="21"/>
      <c r="B374" s="67"/>
      <c r="C374" s="67"/>
      <c r="D374" s="56"/>
      <c r="E374" s="21"/>
      <c r="F374" s="21"/>
      <c r="G374" s="21"/>
      <c r="H374" s="21"/>
      <c r="I374" s="21"/>
      <c r="J374" s="21"/>
      <c r="K374" s="21"/>
    </row>
    <row r="375" spans="1:11" ht="34.049999999999997" customHeight="1" x14ac:dyDescent="0.3">
      <c r="A375" s="21"/>
      <c r="B375" s="67"/>
      <c r="C375" s="67"/>
      <c r="D375" s="56"/>
      <c r="E375" s="21"/>
      <c r="F375" s="21"/>
      <c r="G375" s="21"/>
      <c r="H375" s="21"/>
      <c r="I375" s="21"/>
      <c r="J375" s="21"/>
      <c r="K375" s="21"/>
    </row>
    <row r="376" spans="1:11" ht="34.049999999999997" customHeight="1" x14ac:dyDescent="0.3">
      <c r="A376" s="21"/>
      <c r="B376" s="67"/>
      <c r="C376" s="67"/>
      <c r="D376" s="56"/>
      <c r="E376" s="21"/>
      <c r="F376" s="21"/>
      <c r="G376" s="21"/>
      <c r="H376" s="21"/>
      <c r="I376" s="21"/>
      <c r="J376" s="21"/>
      <c r="K376" s="21"/>
    </row>
    <row r="377" spans="1:11" ht="34.049999999999997" customHeight="1" x14ac:dyDescent="0.3">
      <c r="A377" s="21"/>
      <c r="B377" s="67"/>
      <c r="C377" s="67"/>
      <c r="D377" s="56"/>
      <c r="E377" s="21"/>
      <c r="F377" s="21"/>
      <c r="G377" s="21"/>
      <c r="H377" s="21"/>
      <c r="I377" s="21"/>
      <c r="J377" s="21"/>
      <c r="K377" s="21"/>
    </row>
    <row r="378" spans="1:11" ht="34.049999999999997" customHeight="1" x14ac:dyDescent="0.3">
      <c r="A378" s="21"/>
      <c r="B378" s="67"/>
      <c r="C378" s="67"/>
      <c r="D378" s="56"/>
      <c r="E378" s="21"/>
      <c r="F378" s="21"/>
      <c r="G378" s="21"/>
      <c r="H378" s="21"/>
      <c r="I378" s="21"/>
      <c r="J378" s="21"/>
      <c r="K378" s="21"/>
    </row>
    <row r="379" spans="1:11" ht="34.049999999999997" customHeight="1" x14ac:dyDescent="0.3">
      <c r="A379" s="21"/>
      <c r="B379" s="67"/>
      <c r="C379" s="67"/>
      <c r="D379" s="56"/>
      <c r="E379" s="21"/>
      <c r="F379" s="21"/>
      <c r="G379" s="21"/>
      <c r="H379" s="21"/>
      <c r="I379" s="21"/>
      <c r="J379" s="21"/>
      <c r="K379" s="21"/>
    </row>
    <row r="380" spans="1:11" ht="34.049999999999997" customHeight="1" x14ac:dyDescent="0.3">
      <c r="A380" s="21"/>
      <c r="B380" s="67"/>
      <c r="C380" s="67"/>
      <c r="D380" s="56"/>
      <c r="E380" s="21"/>
      <c r="F380" s="21"/>
      <c r="G380" s="21"/>
      <c r="H380" s="21"/>
      <c r="I380" s="21"/>
      <c r="J380" s="21"/>
      <c r="K380" s="21"/>
    </row>
    <row r="381" spans="1:11" ht="34.049999999999997" customHeight="1" x14ac:dyDescent="0.3">
      <c r="A381" s="21"/>
      <c r="B381" s="67"/>
      <c r="C381" s="67"/>
      <c r="D381" s="56"/>
      <c r="E381" s="21"/>
      <c r="F381" s="21"/>
      <c r="G381" s="21"/>
      <c r="H381" s="21"/>
      <c r="I381" s="21"/>
      <c r="J381" s="21"/>
      <c r="K381" s="21"/>
    </row>
    <row r="382" spans="1:11" ht="34.049999999999997" customHeight="1" x14ac:dyDescent="0.3">
      <c r="A382" s="21"/>
      <c r="B382" s="67"/>
      <c r="C382" s="67"/>
      <c r="D382" s="56"/>
      <c r="E382" s="21"/>
      <c r="F382" s="21"/>
      <c r="G382" s="21"/>
      <c r="H382" s="21"/>
      <c r="I382" s="21"/>
      <c r="J382" s="21"/>
      <c r="K382" s="21"/>
    </row>
    <row r="383" spans="1:11" ht="34.049999999999997" customHeight="1" x14ac:dyDescent="0.3">
      <c r="A383" s="21"/>
      <c r="B383" s="67"/>
      <c r="C383" s="67"/>
      <c r="D383" s="56"/>
      <c r="E383" s="21"/>
      <c r="F383" s="21"/>
      <c r="G383" s="21"/>
      <c r="H383" s="21"/>
      <c r="I383" s="21"/>
      <c r="J383" s="21"/>
      <c r="K383" s="21"/>
    </row>
    <row r="384" spans="1:11" ht="34.049999999999997" customHeight="1" x14ac:dyDescent="0.3">
      <c r="A384" s="21"/>
      <c r="B384" s="67"/>
      <c r="C384" s="67"/>
      <c r="D384" s="56"/>
      <c r="E384" s="21"/>
      <c r="F384" s="21"/>
      <c r="G384" s="21"/>
      <c r="H384" s="21"/>
      <c r="I384" s="21"/>
      <c r="J384" s="21"/>
      <c r="K384" s="21"/>
    </row>
    <row r="385" spans="1:11" ht="34.049999999999997" customHeight="1" x14ac:dyDescent="0.3">
      <c r="A385" s="21"/>
      <c r="B385" s="67"/>
      <c r="C385" s="67"/>
      <c r="D385" s="56"/>
      <c r="E385" s="21"/>
      <c r="F385" s="21"/>
      <c r="G385" s="21"/>
      <c r="H385" s="21"/>
      <c r="I385" s="21"/>
      <c r="J385" s="21"/>
      <c r="K385" s="21"/>
    </row>
    <row r="386" spans="1:11" ht="34.049999999999997" customHeight="1" x14ac:dyDescent="0.3">
      <c r="A386" s="21"/>
      <c r="B386" s="67"/>
      <c r="C386" s="67"/>
      <c r="D386" s="56"/>
      <c r="E386" s="21"/>
      <c r="F386" s="21"/>
      <c r="G386" s="21"/>
      <c r="H386" s="21"/>
      <c r="I386" s="21"/>
      <c r="J386" s="21"/>
      <c r="K386" s="21"/>
    </row>
    <row r="387" spans="1:11" ht="34.049999999999997" customHeight="1" x14ac:dyDescent="0.3">
      <c r="A387" s="21"/>
      <c r="B387" s="67"/>
      <c r="C387" s="67"/>
      <c r="D387" s="56"/>
      <c r="E387" s="21"/>
      <c r="F387" s="21"/>
      <c r="G387" s="21"/>
      <c r="H387" s="21"/>
      <c r="I387" s="21"/>
      <c r="J387" s="21"/>
      <c r="K387" s="21"/>
    </row>
    <row r="388" spans="1:11" ht="34.049999999999997" customHeight="1" x14ac:dyDescent="0.3">
      <c r="A388" s="21"/>
      <c r="B388" s="67"/>
      <c r="C388" s="67"/>
      <c r="D388" s="56"/>
      <c r="E388" s="21"/>
      <c r="F388" s="21"/>
      <c r="G388" s="21"/>
      <c r="H388" s="21"/>
      <c r="I388" s="21"/>
      <c r="J388" s="21"/>
      <c r="K388" s="21"/>
    </row>
    <row r="389" spans="1:11" ht="34.049999999999997" customHeight="1" x14ac:dyDescent="0.3">
      <c r="A389" s="21"/>
      <c r="B389" s="67"/>
      <c r="C389" s="67"/>
      <c r="D389" s="56"/>
      <c r="E389" s="21"/>
      <c r="F389" s="21"/>
      <c r="G389" s="21"/>
      <c r="H389" s="21"/>
      <c r="I389" s="21"/>
      <c r="J389" s="21"/>
      <c r="K389" s="21"/>
    </row>
    <row r="390" spans="1:11" ht="34.049999999999997" customHeight="1" x14ac:dyDescent="0.3">
      <c r="A390" s="21"/>
      <c r="B390" s="67"/>
      <c r="C390" s="67"/>
      <c r="D390" s="56"/>
      <c r="E390" s="21"/>
      <c r="F390" s="21"/>
      <c r="G390" s="21"/>
      <c r="H390" s="21"/>
      <c r="I390" s="21"/>
      <c r="J390" s="21"/>
      <c r="K390" s="21"/>
    </row>
    <row r="391" spans="1:11" ht="34.049999999999997" customHeight="1" x14ac:dyDescent="0.3">
      <c r="A391" s="21"/>
      <c r="B391" s="67"/>
      <c r="C391" s="67"/>
      <c r="D391" s="56"/>
      <c r="E391" s="21"/>
      <c r="F391" s="21"/>
      <c r="G391" s="21"/>
      <c r="H391" s="21"/>
      <c r="I391" s="21"/>
      <c r="J391" s="21"/>
      <c r="K391" s="21"/>
    </row>
    <row r="392" spans="1:11" ht="34.049999999999997" customHeight="1" x14ac:dyDescent="0.3">
      <c r="A392" s="21"/>
      <c r="B392" s="67"/>
      <c r="C392" s="67"/>
      <c r="D392" s="56"/>
      <c r="E392" s="21"/>
      <c r="F392" s="21"/>
      <c r="G392" s="21"/>
      <c r="H392" s="21"/>
      <c r="I392" s="21"/>
      <c r="J392" s="21"/>
      <c r="K392" s="21"/>
    </row>
    <row r="393" spans="1:11" ht="34.049999999999997" customHeight="1" x14ac:dyDescent="0.3">
      <c r="A393" s="21"/>
      <c r="B393" s="67"/>
      <c r="C393" s="67"/>
      <c r="D393" s="56"/>
      <c r="E393" s="21"/>
      <c r="F393" s="21"/>
      <c r="G393" s="21"/>
      <c r="H393" s="21"/>
      <c r="I393" s="21"/>
      <c r="J393" s="21"/>
      <c r="K393" s="21"/>
    </row>
    <row r="394" spans="1:11" ht="34.049999999999997" customHeight="1" x14ac:dyDescent="0.3">
      <c r="A394" s="21"/>
      <c r="B394" s="67"/>
      <c r="C394" s="67"/>
      <c r="D394" s="56"/>
      <c r="E394" s="21"/>
      <c r="F394" s="21"/>
      <c r="G394" s="21"/>
      <c r="H394" s="21"/>
      <c r="I394" s="21"/>
      <c r="J394" s="21"/>
      <c r="K394" s="21"/>
    </row>
    <row r="395" spans="1:11" ht="34.049999999999997" customHeight="1" x14ac:dyDescent="0.3">
      <c r="A395" s="21"/>
      <c r="B395" s="67"/>
      <c r="C395" s="67"/>
      <c r="D395" s="56"/>
      <c r="E395" s="21"/>
      <c r="F395" s="21"/>
      <c r="G395" s="21"/>
      <c r="H395" s="21"/>
      <c r="I395" s="21"/>
      <c r="J395" s="21"/>
      <c r="K395" s="21"/>
    </row>
    <row r="396" spans="1:11" ht="34.049999999999997" customHeight="1" x14ac:dyDescent="0.3">
      <c r="A396" s="21"/>
      <c r="B396" s="67"/>
      <c r="C396" s="67"/>
      <c r="D396" s="56"/>
      <c r="E396" s="21"/>
      <c r="F396" s="21"/>
      <c r="G396" s="21"/>
      <c r="H396" s="21"/>
      <c r="I396" s="21"/>
      <c r="J396" s="21"/>
      <c r="K396" s="21"/>
    </row>
    <row r="397" spans="1:11" ht="34.049999999999997" customHeight="1" x14ac:dyDescent="0.3">
      <c r="A397" s="21"/>
      <c r="B397" s="67"/>
      <c r="C397" s="67"/>
      <c r="D397" s="56"/>
      <c r="E397" s="21"/>
      <c r="F397" s="21"/>
      <c r="G397" s="21"/>
      <c r="H397" s="21"/>
      <c r="I397" s="21"/>
      <c r="J397" s="21"/>
      <c r="K397" s="21"/>
    </row>
    <row r="398" spans="1:11" ht="34.049999999999997" customHeight="1" x14ac:dyDescent="0.3">
      <c r="A398" s="21"/>
      <c r="B398" s="67"/>
      <c r="C398" s="67"/>
      <c r="D398" s="56"/>
      <c r="E398" s="21"/>
      <c r="F398" s="21"/>
      <c r="G398" s="21"/>
      <c r="H398" s="21"/>
      <c r="I398" s="21"/>
      <c r="J398" s="21"/>
      <c r="K398" s="21"/>
    </row>
    <row r="399" spans="1:11" ht="34.049999999999997" customHeight="1" x14ac:dyDescent="0.3">
      <c r="A399" s="21"/>
      <c r="B399" s="67"/>
      <c r="C399" s="67"/>
      <c r="D399" s="56"/>
      <c r="E399" s="21"/>
      <c r="F399" s="21"/>
      <c r="G399" s="21"/>
      <c r="H399" s="21"/>
      <c r="I399" s="21"/>
      <c r="J399" s="21"/>
      <c r="K399" s="21"/>
    </row>
    <row r="400" spans="1:11" ht="34.049999999999997" customHeight="1" x14ac:dyDescent="0.3">
      <c r="A400" s="21"/>
      <c r="B400" s="67"/>
      <c r="C400" s="67"/>
      <c r="D400" s="56"/>
      <c r="E400" s="21"/>
      <c r="F400" s="21"/>
      <c r="G400" s="21"/>
      <c r="H400" s="21"/>
      <c r="I400" s="21"/>
      <c r="J400" s="21"/>
      <c r="K400" s="21"/>
    </row>
    <row r="401" spans="1:11" ht="34.049999999999997" customHeight="1" x14ac:dyDescent="0.3">
      <c r="A401" s="21"/>
      <c r="B401" s="67"/>
      <c r="C401" s="67"/>
      <c r="D401" s="56"/>
      <c r="E401" s="21"/>
      <c r="F401" s="21"/>
      <c r="G401" s="21"/>
      <c r="H401" s="21"/>
      <c r="I401" s="21"/>
      <c r="J401" s="21"/>
      <c r="K401" s="21"/>
    </row>
    <row r="402" spans="1:11" ht="34.049999999999997" customHeight="1" x14ac:dyDescent="0.3">
      <c r="A402" s="21"/>
      <c r="B402" s="67"/>
      <c r="C402" s="67"/>
      <c r="D402" s="56"/>
      <c r="E402" s="21"/>
      <c r="F402" s="21"/>
      <c r="G402" s="21"/>
      <c r="H402" s="21"/>
      <c r="I402" s="21"/>
      <c r="J402" s="21"/>
      <c r="K402" s="21"/>
    </row>
    <row r="403" spans="1:11" ht="34.049999999999997" customHeight="1" x14ac:dyDescent="0.3">
      <c r="A403" s="21"/>
      <c r="B403" s="67"/>
      <c r="C403" s="67"/>
      <c r="D403" s="56"/>
      <c r="E403" s="21"/>
      <c r="F403" s="21"/>
      <c r="G403" s="21"/>
      <c r="H403" s="21"/>
      <c r="I403" s="21"/>
      <c r="J403" s="21"/>
      <c r="K403" s="21"/>
    </row>
    <row r="404" spans="1:11" ht="34.049999999999997" customHeight="1" x14ac:dyDescent="0.3">
      <c r="A404" s="21"/>
      <c r="B404" s="67"/>
      <c r="C404" s="67"/>
      <c r="D404" s="56"/>
      <c r="E404" s="21"/>
      <c r="F404" s="21"/>
      <c r="G404" s="21"/>
      <c r="H404" s="21"/>
      <c r="I404" s="21"/>
      <c r="J404" s="21"/>
      <c r="K404" s="21"/>
    </row>
    <row r="405" spans="1:11" ht="34.049999999999997" customHeight="1" x14ac:dyDescent="0.3">
      <c r="A405" s="21"/>
      <c r="B405" s="67"/>
      <c r="C405" s="67"/>
      <c r="D405" s="56"/>
      <c r="E405" s="21"/>
      <c r="F405" s="21"/>
      <c r="G405" s="21"/>
      <c r="H405" s="21"/>
      <c r="I405" s="21"/>
      <c r="J405" s="21"/>
      <c r="K405" s="21"/>
    </row>
    <row r="406" spans="1:11" ht="34.049999999999997" customHeight="1" x14ac:dyDescent="0.3">
      <c r="A406" s="21"/>
      <c r="B406" s="67"/>
      <c r="C406" s="67"/>
      <c r="D406" s="56"/>
      <c r="E406" s="21"/>
      <c r="F406" s="21"/>
      <c r="G406" s="21"/>
      <c r="H406" s="21"/>
      <c r="I406" s="21"/>
      <c r="J406" s="21"/>
      <c r="K406" s="21"/>
    </row>
    <row r="407" spans="1:11" ht="34.049999999999997" customHeight="1" x14ac:dyDescent="0.3">
      <c r="A407" s="21"/>
      <c r="B407" s="67"/>
      <c r="C407" s="67"/>
      <c r="D407" s="56"/>
      <c r="E407" s="21"/>
      <c r="F407" s="21"/>
      <c r="G407" s="21"/>
      <c r="H407" s="21"/>
      <c r="I407" s="21"/>
      <c r="J407" s="21"/>
      <c r="K407" s="21"/>
    </row>
    <row r="408" spans="1:11" ht="34.049999999999997" customHeight="1" x14ac:dyDescent="0.3">
      <c r="A408" s="21"/>
      <c r="B408" s="67"/>
      <c r="C408" s="67"/>
      <c r="D408" s="56"/>
      <c r="E408" s="21"/>
      <c r="F408" s="21"/>
      <c r="G408" s="21"/>
      <c r="H408" s="21"/>
      <c r="I408" s="21"/>
      <c r="J408" s="21"/>
      <c r="K408" s="21"/>
    </row>
    <row r="409" spans="1:11" ht="34.049999999999997" customHeight="1" x14ac:dyDescent="0.3">
      <c r="A409" s="21"/>
      <c r="B409" s="67"/>
      <c r="C409" s="67"/>
      <c r="D409" s="56"/>
      <c r="E409" s="21"/>
      <c r="F409" s="21"/>
      <c r="G409" s="21"/>
      <c r="H409" s="21"/>
      <c r="I409" s="21"/>
      <c r="J409" s="21"/>
      <c r="K409" s="21"/>
    </row>
    <row r="410" spans="1:11" ht="34.049999999999997" customHeight="1" x14ac:dyDescent="0.3">
      <c r="A410" s="21"/>
      <c r="B410" s="67"/>
      <c r="C410" s="67"/>
      <c r="D410" s="56"/>
      <c r="E410" s="21"/>
      <c r="F410" s="21"/>
      <c r="G410" s="21"/>
      <c r="H410" s="21"/>
      <c r="I410" s="21"/>
      <c r="J410" s="21"/>
      <c r="K410" s="21"/>
    </row>
    <row r="411" spans="1:11" ht="34.049999999999997" customHeight="1" x14ac:dyDescent="0.3">
      <c r="A411" s="21"/>
      <c r="B411" s="67"/>
      <c r="C411" s="67"/>
      <c r="D411" s="56"/>
      <c r="E411" s="21"/>
      <c r="F411" s="21"/>
      <c r="G411" s="21"/>
      <c r="H411" s="21"/>
      <c r="I411" s="21"/>
      <c r="J411" s="21"/>
      <c r="K411" s="21"/>
    </row>
    <row r="412" spans="1:11" ht="34.049999999999997" customHeight="1" x14ac:dyDescent="0.3">
      <c r="A412" s="21"/>
      <c r="B412" s="67"/>
      <c r="C412" s="67"/>
      <c r="D412" s="56"/>
      <c r="E412" s="21"/>
      <c r="F412" s="21"/>
      <c r="G412" s="21"/>
      <c r="H412" s="21"/>
      <c r="I412" s="21"/>
      <c r="J412" s="21"/>
      <c r="K412" s="21"/>
    </row>
    <row r="413" spans="1:11" ht="34.049999999999997" customHeight="1" x14ac:dyDescent="0.3">
      <c r="A413" s="21"/>
      <c r="B413" s="67"/>
      <c r="C413" s="67"/>
      <c r="D413" s="56"/>
      <c r="E413" s="21"/>
      <c r="F413" s="21"/>
      <c r="G413" s="21"/>
      <c r="H413" s="21"/>
      <c r="I413" s="21"/>
      <c r="J413" s="21"/>
      <c r="K413" s="21"/>
    </row>
    <row r="414" spans="1:11" ht="34.049999999999997" customHeight="1" x14ac:dyDescent="0.3">
      <c r="A414" s="21"/>
      <c r="B414" s="67"/>
      <c r="C414" s="67"/>
      <c r="D414" s="56"/>
      <c r="E414" s="21"/>
      <c r="F414" s="21"/>
      <c r="G414" s="21"/>
      <c r="H414" s="21"/>
      <c r="I414" s="21"/>
      <c r="J414" s="21"/>
      <c r="K414" s="21"/>
    </row>
    <row r="415" spans="1:11" ht="34.049999999999997" customHeight="1" x14ac:dyDescent="0.3">
      <c r="A415" s="21"/>
      <c r="B415" s="67"/>
      <c r="C415" s="67"/>
      <c r="D415" s="56"/>
      <c r="E415" s="21"/>
      <c r="F415" s="21"/>
      <c r="G415" s="21"/>
      <c r="H415" s="21"/>
      <c r="I415" s="21"/>
      <c r="J415" s="21"/>
      <c r="K415" s="21"/>
    </row>
    <row r="416" spans="1:11" ht="34.049999999999997" customHeight="1" x14ac:dyDescent="0.3">
      <c r="A416" s="21"/>
      <c r="B416" s="67"/>
      <c r="C416" s="67"/>
      <c r="D416" s="56"/>
      <c r="E416" s="21"/>
      <c r="F416" s="21"/>
      <c r="G416" s="21"/>
      <c r="H416" s="21"/>
      <c r="I416" s="21"/>
      <c r="J416" s="21"/>
      <c r="K416" s="21"/>
    </row>
    <row r="417" spans="1:11" ht="34.049999999999997" customHeight="1" x14ac:dyDescent="0.3">
      <c r="A417" s="21"/>
      <c r="B417" s="67"/>
      <c r="C417" s="67"/>
      <c r="D417" s="56"/>
      <c r="E417" s="21"/>
      <c r="F417" s="21"/>
      <c r="G417" s="21"/>
      <c r="H417" s="21"/>
      <c r="I417" s="21"/>
      <c r="J417" s="21"/>
      <c r="K417" s="21"/>
    </row>
    <row r="418" spans="1:11" ht="34.049999999999997" customHeight="1" x14ac:dyDescent="0.3">
      <c r="A418" s="21"/>
      <c r="B418" s="67"/>
      <c r="C418" s="67"/>
      <c r="D418" s="56"/>
      <c r="E418" s="21"/>
      <c r="F418" s="21"/>
      <c r="G418" s="21"/>
      <c r="H418" s="21"/>
      <c r="I418" s="21"/>
      <c r="J418" s="21"/>
      <c r="K418" s="21"/>
    </row>
    <row r="419" spans="1:11" ht="34.049999999999997" customHeight="1" x14ac:dyDescent="0.3">
      <c r="A419" s="21"/>
      <c r="B419" s="67"/>
      <c r="C419" s="67"/>
      <c r="D419" s="56"/>
      <c r="E419" s="21"/>
      <c r="F419" s="21"/>
      <c r="G419" s="21"/>
      <c r="H419" s="21"/>
      <c r="I419" s="21"/>
      <c r="J419" s="21"/>
      <c r="K419" s="21"/>
    </row>
    <row r="420" spans="1:11" ht="34.049999999999997" customHeight="1" x14ac:dyDescent="0.3">
      <c r="A420" s="21"/>
      <c r="B420" s="67"/>
      <c r="C420" s="67"/>
      <c r="D420" s="56"/>
      <c r="E420" s="21"/>
      <c r="F420" s="21"/>
      <c r="G420" s="21"/>
      <c r="H420" s="21"/>
      <c r="I420" s="21"/>
      <c r="J420" s="21"/>
      <c r="K420" s="21"/>
    </row>
    <row r="421" spans="1:11" ht="34.049999999999997" customHeight="1" x14ac:dyDescent="0.3">
      <c r="A421" s="21"/>
      <c r="B421" s="67"/>
      <c r="C421" s="67"/>
      <c r="D421" s="56"/>
      <c r="E421" s="21"/>
      <c r="F421" s="21"/>
      <c r="G421" s="21"/>
      <c r="H421" s="21"/>
      <c r="I421" s="21"/>
      <c r="J421" s="21"/>
      <c r="K421" s="21"/>
    </row>
    <row r="422" spans="1:11" ht="34.049999999999997" customHeight="1" x14ac:dyDescent="0.3">
      <c r="A422" s="21"/>
      <c r="B422" s="67"/>
      <c r="C422" s="67"/>
      <c r="D422" s="56"/>
      <c r="E422" s="21"/>
      <c r="F422" s="21"/>
      <c r="G422" s="21"/>
      <c r="H422" s="21"/>
      <c r="I422" s="21"/>
      <c r="J422" s="21"/>
      <c r="K422" s="21"/>
    </row>
    <row r="423" spans="1:11" ht="34.049999999999997" customHeight="1" x14ac:dyDescent="0.3">
      <c r="A423" s="21"/>
      <c r="B423" s="67"/>
      <c r="C423" s="67"/>
      <c r="D423" s="56"/>
      <c r="E423" s="21"/>
      <c r="F423" s="21"/>
      <c r="G423" s="21"/>
      <c r="H423" s="21"/>
      <c r="I423" s="21"/>
      <c r="J423" s="21"/>
      <c r="K423" s="21"/>
    </row>
    <row r="424" spans="1:11" ht="34.049999999999997" customHeight="1" x14ac:dyDescent="0.3">
      <c r="A424" s="21"/>
      <c r="B424" s="67"/>
      <c r="C424" s="67"/>
      <c r="D424" s="56"/>
      <c r="E424" s="21"/>
      <c r="F424" s="21"/>
      <c r="G424" s="21"/>
      <c r="H424" s="21"/>
      <c r="I424" s="21"/>
      <c r="J424" s="21"/>
      <c r="K424" s="21"/>
    </row>
    <row r="425" spans="1:11" ht="34.049999999999997" customHeight="1" x14ac:dyDescent="0.3">
      <c r="A425" s="21"/>
      <c r="B425" s="67"/>
      <c r="C425" s="67"/>
      <c r="D425" s="56"/>
      <c r="E425" s="21"/>
      <c r="F425" s="21"/>
      <c r="G425" s="21"/>
      <c r="H425" s="21"/>
      <c r="I425" s="21"/>
      <c r="J425" s="21"/>
      <c r="K425" s="21"/>
    </row>
    <row r="426" spans="1:11" ht="34.049999999999997" customHeight="1" x14ac:dyDescent="0.3">
      <c r="A426" s="21"/>
      <c r="B426" s="67"/>
      <c r="C426" s="67"/>
      <c r="D426" s="56"/>
      <c r="E426" s="21"/>
      <c r="F426" s="21"/>
      <c r="G426" s="21"/>
      <c r="H426" s="21"/>
      <c r="I426" s="21"/>
      <c r="J426" s="21"/>
      <c r="K426" s="21"/>
    </row>
    <row r="427" spans="1:11" ht="34.049999999999997" customHeight="1" x14ac:dyDescent="0.3">
      <c r="A427" s="21"/>
      <c r="B427" s="67"/>
      <c r="C427" s="67"/>
      <c r="D427" s="56"/>
      <c r="E427" s="21"/>
      <c r="F427" s="21"/>
      <c r="G427" s="21"/>
      <c r="H427" s="21"/>
      <c r="I427" s="21"/>
      <c r="J427" s="21"/>
      <c r="K427" s="21"/>
    </row>
    <row r="428" spans="1:11" ht="34.049999999999997" customHeight="1" x14ac:dyDescent="0.3">
      <c r="A428" s="21"/>
      <c r="B428" s="67"/>
      <c r="C428" s="67"/>
      <c r="D428" s="56"/>
      <c r="E428" s="21"/>
      <c r="F428" s="21"/>
      <c r="G428" s="21"/>
      <c r="H428" s="21"/>
      <c r="I428" s="21"/>
      <c r="J428" s="21"/>
      <c r="K428" s="21"/>
    </row>
    <row r="429" spans="1:11" ht="34.049999999999997" customHeight="1" x14ac:dyDescent="0.3">
      <c r="A429" s="21"/>
      <c r="B429" s="67"/>
      <c r="C429" s="67"/>
      <c r="D429" s="56"/>
      <c r="E429" s="21"/>
      <c r="F429" s="21"/>
      <c r="G429" s="21"/>
      <c r="H429" s="21"/>
      <c r="I429" s="21"/>
      <c r="J429" s="21"/>
      <c r="K429" s="21"/>
    </row>
    <row r="430" spans="1:11" ht="34.049999999999997" customHeight="1" x14ac:dyDescent="0.3">
      <c r="A430" s="21"/>
      <c r="B430" s="67"/>
      <c r="C430" s="67"/>
      <c r="D430" s="56"/>
      <c r="E430" s="21"/>
      <c r="F430" s="21"/>
      <c r="G430" s="21"/>
      <c r="H430" s="21"/>
      <c r="I430" s="21"/>
      <c r="J430" s="21"/>
      <c r="K430" s="21"/>
    </row>
    <row r="431" spans="1:11" ht="34.049999999999997" customHeight="1" x14ac:dyDescent="0.3">
      <c r="A431" s="21"/>
      <c r="B431" s="67"/>
      <c r="C431" s="67"/>
      <c r="D431" s="56"/>
      <c r="E431" s="21"/>
      <c r="F431" s="21"/>
      <c r="G431" s="21"/>
      <c r="H431" s="21"/>
      <c r="I431" s="21"/>
      <c r="J431" s="21"/>
      <c r="K431" s="21"/>
    </row>
    <row r="432" spans="1:11" ht="34.049999999999997" customHeight="1" x14ac:dyDescent="0.3">
      <c r="A432" s="21"/>
      <c r="B432" s="67"/>
      <c r="C432" s="67"/>
      <c r="D432" s="56"/>
      <c r="E432" s="21"/>
      <c r="F432" s="21"/>
      <c r="G432" s="21"/>
      <c r="H432" s="21"/>
      <c r="I432" s="21"/>
      <c r="J432" s="21"/>
      <c r="K432" s="21"/>
    </row>
    <row r="433" spans="1:11" ht="34.049999999999997" customHeight="1" x14ac:dyDescent="0.3">
      <c r="A433" s="21"/>
      <c r="B433" s="67"/>
      <c r="C433" s="67"/>
      <c r="D433" s="56"/>
      <c r="E433" s="21"/>
      <c r="F433" s="21"/>
      <c r="G433" s="21"/>
      <c r="H433" s="21"/>
      <c r="I433" s="21"/>
      <c r="J433" s="21"/>
      <c r="K433" s="21"/>
    </row>
    <row r="434" spans="1:11" ht="34.049999999999997" customHeight="1" x14ac:dyDescent="0.3">
      <c r="A434" s="21"/>
      <c r="B434" s="67"/>
      <c r="C434" s="67"/>
      <c r="D434" s="56"/>
      <c r="E434" s="21"/>
      <c r="F434" s="21"/>
      <c r="G434" s="21"/>
      <c r="H434" s="21"/>
      <c r="I434" s="21"/>
      <c r="J434" s="21"/>
      <c r="K434" s="21"/>
    </row>
    <row r="435" spans="1:11" ht="34.049999999999997" customHeight="1" x14ac:dyDescent="0.3">
      <c r="A435" s="21"/>
      <c r="B435" s="67"/>
      <c r="C435" s="67"/>
      <c r="D435" s="56"/>
      <c r="E435" s="21"/>
      <c r="F435" s="21"/>
      <c r="G435" s="21"/>
      <c r="H435" s="21"/>
      <c r="I435" s="21"/>
      <c r="J435" s="21"/>
      <c r="K435" s="21"/>
    </row>
    <row r="436" spans="1:11" ht="34.049999999999997" customHeight="1" x14ac:dyDescent="0.3">
      <c r="A436" s="21"/>
      <c r="B436" s="67"/>
      <c r="C436" s="67"/>
      <c r="D436" s="56"/>
      <c r="E436" s="21"/>
      <c r="F436" s="21"/>
      <c r="G436" s="21"/>
      <c r="H436" s="21"/>
      <c r="I436" s="21"/>
      <c r="J436" s="21"/>
      <c r="K436" s="21"/>
    </row>
    <row r="437" spans="1:11" ht="34.049999999999997" customHeight="1" x14ac:dyDescent="0.3">
      <c r="A437" s="21"/>
      <c r="B437" s="67"/>
      <c r="C437" s="67"/>
      <c r="D437" s="56"/>
      <c r="E437" s="21"/>
      <c r="F437" s="21"/>
      <c r="G437" s="21"/>
      <c r="H437" s="21"/>
      <c r="I437" s="21"/>
      <c r="J437" s="21"/>
      <c r="K437" s="21"/>
    </row>
    <row r="438" spans="1:11" ht="34.049999999999997" customHeight="1" x14ac:dyDescent="0.3">
      <c r="A438" s="21"/>
      <c r="B438" s="67"/>
      <c r="C438" s="67"/>
      <c r="D438" s="56"/>
      <c r="E438" s="21"/>
      <c r="F438" s="21"/>
      <c r="G438" s="21"/>
      <c r="H438" s="21"/>
      <c r="I438" s="21"/>
      <c r="J438" s="21"/>
      <c r="K438" s="21"/>
    </row>
    <row r="439" spans="1:11" ht="34.049999999999997" customHeight="1" x14ac:dyDescent="0.3">
      <c r="A439" s="21"/>
      <c r="B439" s="67"/>
      <c r="C439" s="67"/>
      <c r="D439" s="56"/>
      <c r="E439" s="21"/>
      <c r="F439" s="21"/>
      <c r="G439" s="21"/>
      <c r="H439" s="21"/>
      <c r="I439" s="21"/>
      <c r="J439" s="21"/>
      <c r="K439" s="21"/>
    </row>
    <row r="440" spans="1:11" ht="34.049999999999997" customHeight="1" x14ac:dyDescent="0.3">
      <c r="A440" s="21"/>
      <c r="B440" s="67"/>
      <c r="C440" s="67"/>
      <c r="D440" s="56"/>
      <c r="E440" s="21"/>
      <c r="F440" s="21"/>
      <c r="G440" s="21"/>
      <c r="H440" s="21"/>
      <c r="I440" s="21"/>
      <c r="J440" s="21"/>
      <c r="K440" s="21"/>
    </row>
    <row r="441" spans="1:11" ht="34.049999999999997" customHeight="1" x14ac:dyDescent="0.3">
      <c r="A441" s="21"/>
      <c r="B441" s="67"/>
      <c r="C441" s="67"/>
      <c r="D441" s="56"/>
      <c r="E441" s="21"/>
      <c r="F441" s="21"/>
      <c r="G441" s="21"/>
      <c r="H441" s="21"/>
      <c r="I441" s="21"/>
      <c r="J441" s="21"/>
      <c r="K441" s="21"/>
    </row>
    <row r="442" spans="1:11" ht="34.049999999999997" customHeight="1" x14ac:dyDescent="0.3">
      <c r="A442" s="21"/>
      <c r="B442" s="67"/>
      <c r="C442" s="67"/>
      <c r="D442" s="56"/>
      <c r="E442" s="21"/>
      <c r="F442" s="21"/>
      <c r="G442" s="21"/>
      <c r="H442" s="21"/>
      <c r="I442" s="21"/>
      <c r="J442" s="21"/>
      <c r="K442" s="21"/>
    </row>
    <row r="443" spans="1:11" ht="34.049999999999997" customHeight="1" x14ac:dyDescent="0.3">
      <c r="A443" s="21"/>
      <c r="B443" s="67"/>
      <c r="C443" s="67"/>
      <c r="D443" s="56"/>
      <c r="E443" s="21"/>
      <c r="F443" s="21"/>
      <c r="G443" s="21"/>
      <c r="H443" s="21"/>
      <c r="I443" s="21"/>
      <c r="J443" s="21"/>
      <c r="K443" s="21"/>
    </row>
    <row r="444" spans="1:11" ht="34.049999999999997" customHeight="1" x14ac:dyDescent="0.3">
      <c r="A444" s="21"/>
      <c r="B444" s="67"/>
      <c r="C444" s="67"/>
      <c r="D444" s="56"/>
      <c r="E444" s="21"/>
      <c r="F444" s="21"/>
      <c r="G444" s="21"/>
      <c r="H444" s="21"/>
      <c r="I444" s="21"/>
      <c r="J444" s="21"/>
      <c r="K444" s="21"/>
    </row>
    <row r="445" spans="1:11" ht="34.049999999999997" customHeight="1" x14ac:dyDescent="0.3">
      <c r="A445" s="21"/>
      <c r="B445" s="67"/>
      <c r="C445" s="67"/>
      <c r="D445" s="56"/>
      <c r="E445" s="21"/>
      <c r="F445" s="21"/>
      <c r="G445" s="21"/>
      <c r="H445" s="21"/>
      <c r="I445" s="21"/>
      <c r="J445" s="21"/>
      <c r="K445" s="21"/>
    </row>
    <row r="446" spans="1:11" ht="34.049999999999997" customHeight="1" x14ac:dyDescent="0.3">
      <c r="A446" s="21"/>
      <c r="B446" s="67"/>
      <c r="C446" s="67"/>
      <c r="D446" s="56"/>
      <c r="E446" s="21"/>
      <c r="F446" s="21"/>
      <c r="G446" s="21"/>
      <c r="H446" s="21"/>
      <c r="I446" s="21"/>
      <c r="J446" s="21"/>
      <c r="K446" s="21"/>
    </row>
    <row r="447" spans="1:11" ht="34.049999999999997" customHeight="1" x14ac:dyDescent="0.3">
      <c r="A447" s="21"/>
      <c r="B447" s="67"/>
      <c r="C447" s="67"/>
      <c r="D447" s="56"/>
      <c r="E447" s="21"/>
      <c r="F447" s="21"/>
      <c r="G447" s="21"/>
      <c r="H447" s="21"/>
      <c r="I447" s="21"/>
      <c r="J447" s="21"/>
      <c r="K447" s="21"/>
    </row>
    <row r="448" spans="1:11" ht="34.049999999999997" customHeight="1" x14ac:dyDescent="0.3">
      <c r="A448" s="21"/>
      <c r="B448" s="67"/>
      <c r="C448" s="67"/>
      <c r="D448" s="56"/>
      <c r="E448" s="21"/>
      <c r="F448" s="21"/>
      <c r="G448" s="21"/>
      <c r="H448" s="21"/>
      <c r="I448" s="21"/>
      <c r="J448" s="21"/>
      <c r="K448" s="21"/>
    </row>
    <row r="449" spans="1:11" ht="34.049999999999997" customHeight="1" x14ac:dyDescent="0.3">
      <c r="A449" s="21"/>
      <c r="B449" s="67"/>
      <c r="C449" s="67"/>
      <c r="D449" s="56"/>
      <c r="E449" s="21"/>
      <c r="F449" s="21"/>
      <c r="G449" s="21"/>
      <c r="H449" s="21"/>
      <c r="I449" s="21"/>
      <c r="J449" s="21"/>
      <c r="K449" s="21"/>
    </row>
    <row r="450" spans="1:11" ht="34.049999999999997" customHeight="1" x14ac:dyDescent="0.3">
      <c r="A450" s="21"/>
      <c r="B450" s="67"/>
      <c r="C450" s="67"/>
      <c r="D450" s="56"/>
      <c r="E450" s="21"/>
      <c r="F450" s="21"/>
      <c r="G450" s="21"/>
      <c r="H450" s="21"/>
      <c r="I450" s="21"/>
      <c r="J450" s="21"/>
      <c r="K450" s="21"/>
    </row>
    <row r="451" spans="1:11" ht="34.049999999999997" customHeight="1" x14ac:dyDescent="0.3">
      <c r="A451" s="21"/>
      <c r="B451" s="67"/>
      <c r="C451" s="67"/>
      <c r="D451" s="56"/>
      <c r="E451" s="21"/>
      <c r="F451" s="21"/>
      <c r="G451" s="21"/>
      <c r="H451" s="21"/>
      <c r="I451" s="21"/>
      <c r="J451" s="21"/>
      <c r="K451" s="21"/>
    </row>
    <row r="452" spans="1:11" ht="34.049999999999997" customHeight="1" x14ac:dyDescent="0.3">
      <c r="A452" s="21"/>
      <c r="B452" s="67"/>
      <c r="C452" s="67"/>
      <c r="D452" s="56"/>
      <c r="E452" s="21"/>
      <c r="F452" s="21"/>
      <c r="G452" s="21"/>
      <c r="H452" s="21"/>
      <c r="I452" s="21"/>
      <c r="J452" s="21"/>
      <c r="K452" s="21"/>
    </row>
    <row r="453" spans="1:11" ht="34.049999999999997" customHeight="1" x14ac:dyDescent="0.3">
      <c r="A453" s="21"/>
      <c r="B453" s="67"/>
      <c r="C453" s="67"/>
      <c r="D453" s="56"/>
      <c r="E453" s="21"/>
      <c r="F453" s="21"/>
      <c r="G453" s="21"/>
      <c r="H453" s="21"/>
      <c r="I453" s="21"/>
      <c r="J453" s="21"/>
      <c r="K453" s="21"/>
    </row>
    <row r="454" spans="1:11" ht="34.049999999999997" customHeight="1" x14ac:dyDescent="0.3">
      <c r="A454" s="21"/>
      <c r="B454" s="67"/>
      <c r="C454" s="67"/>
      <c r="D454" s="56"/>
      <c r="E454" s="21"/>
      <c r="F454" s="21"/>
      <c r="G454" s="21"/>
      <c r="H454" s="21"/>
      <c r="I454" s="21"/>
      <c r="J454" s="21"/>
      <c r="K454" s="21"/>
    </row>
    <row r="455" spans="1:11" ht="34.049999999999997" customHeight="1" x14ac:dyDescent="0.3">
      <c r="A455" s="21"/>
      <c r="B455" s="67"/>
      <c r="C455" s="67"/>
      <c r="D455" s="56"/>
      <c r="E455" s="21"/>
      <c r="F455" s="21"/>
      <c r="G455" s="21"/>
      <c r="H455" s="21"/>
      <c r="I455" s="21"/>
      <c r="J455" s="21"/>
      <c r="K455" s="21"/>
    </row>
    <row r="456" spans="1:11" ht="34.049999999999997" customHeight="1" x14ac:dyDescent="0.3">
      <c r="A456" s="21"/>
      <c r="B456" s="67"/>
      <c r="C456" s="67"/>
      <c r="D456" s="56"/>
      <c r="E456" s="21"/>
      <c r="F456" s="21"/>
      <c r="G456" s="21"/>
      <c r="H456" s="21"/>
      <c r="I456" s="21"/>
      <c r="J456" s="21"/>
      <c r="K456" s="21"/>
    </row>
    <row r="457" spans="1:11" ht="34.049999999999997" customHeight="1" x14ac:dyDescent="0.3">
      <c r="A457" s="21"/>
      <c r="B457" s="67"/>
      <c r="C457" s="67"/>
      <c r="D457" s="56"/>
      <c r="E457" s="21"/>
      <c r="F457" s="21"/>
      <c r="G457" s="21"/>
      <c r="H457" s="21"/>
      <c r="I457" s="21"/>
      <c r="J457" s="21"/>
      <c r="K457" s="21"/>
    </row>
    <row r="458" spans="1:11" ht="34.049999999999997" customHeight="1" x14ac:dyDescent="0.3">
      <c r="A458" s="21"/>
      <c r="B458" s="67"/>
      <c r="C458" s="67"/>
      <c r="D458" s="56"/>
      <c r="E458" s="21"/>
      <c r="F458" s="21"/>
      <c r="G458" s="21"/>
      <c r="H458" s="21"/>
      <c r="I458" s="21"/>
      <c r="J458" s="21"/>
      <c r="K458" s="21"/>
    </row>
    <row r="459" spans="1:11" ht="34.049999999999997" customHeight="1" x14ac:dyDescent="0.3">
      <c r="A459" s="21"/>
      <c r="B459" s="67"/>
      <c r="C459" s="67"/>
      <c r="D459" s="56"/>
      <c r="E459" s="21"/>
      <c r="F459" s="21"/>
      <c r="G459" s="21"/>
      <c r="H459" s="21"/>
      <c r="I459" s="21"/>
      <c r="J459" s="21"/>
      <c r="K459" s="21"/>
    </row>
    <row r="460" spans="1:11" ht="34.049999999999997" customHeight="1" x14ac:dyDescent="0.3">
      <c r="A460" s="21"/>
      <c r="B460" s="67"/>
      <c r="C460" s="67"/>
      <c r="D460" s="56"/>
      <c r="E460" s="21"/>
      <c r="F460" s="21"/>
      <c r="G460" s="21"/>
      <c r="H460" s="21"/>
      <c r="I460" s="21"/>
      <c r="J460" s="21"/>
      <c r="K460" s="21"/>
    </row>
    <row r="461" spans="1:11" ht="34.049999999999997" customHeight="1" x14ac:dyDescent="0.3">
      <c r="A461" s="21"/>
      <c r="B461" s="67"/>
      <c r="C461" s="67"/>
      <c r="D461" s="56"/>
      <c r="E461" s="21"/>
      <c r="F461" s="21"/>
      <c r="G461" s="21"/>
      <c r="H461" s="21"/>
      <c r="I461" s="21"/>
      <c r="J461" s="21"/>
      <c r="K461" s="21"/>
    </row>
    <row r="462" spans="1:11" ht="34.049999999999997" customHeight="1" x14ac:dyDescent="0.3">
      <c r="A462" s="21"/>
      <c r="B462" s="67"/>
      <c r="C462" s="67"/>
      <c r="D462" s="56"/>
      <c r="E462" s="21"/>
      <c r="F462" s="21"/>
      <c r="G462" s="21"/>
      <c r="H462" s="21"/>
      <c r="I462" s="21"/>
      <c r="J462" s="21"/>
      <c r="K462" s="21"/>
    </row>
    <row r="463" spans="1:11" ht="34.049999999999997" customHeight="1" x14ac:dyDescent="0.3">
      <c r="A463" s="21"/>
      <c r="B463" s="67"/>
      <c r="C463" s="67"/>
      <c r="D463" s="56"/>
      <c r="E463" s="21"/>
      <c r="F463" s="21"/>
      <c r="G463" s="21"/>
      <c r="H463" s="21"/>
      <c r="I463" s="21"/>
      <c r="J463" s="21"/>
      <c r="K463" s="21"/>
    </row>
    <row r="464" spans="1:11" ht="34.049999999999997" customHeight="1" x14ac:dyDescent="0.3">
      <c r="A464" s="21"/>
      <c r="B464" s="67"/>
      <c r="C464" s="67"/>
      <c r="D464" s="56"/>
      <c r="E464" s="21"/>
      <c r="F464" s="21"/>
      <c r="G464" s="21"/>
      <c r="H464" s="21"/>
      <c r="I464" s="21"/>
      <c r="J464" s="21"/>
      <c r="K464" s="21"/>
    </row>
    <row r="465" spans="1:11" ht="34.049999999999997" customHeight="1" x14ac:dyDescent="0.3">
      <c r="A465" s="21"/>
      <c r="B465" s="67"/>
      <c r="C465" s="67"/>
      <c r="D465" s="56"/>
      <c r="E465" s="21"/>
      <c r="F465" s="21"/>
      <c r="G465" s="21"/>
      <c r="H465" s="21"/>
      <c r="I465" s="21"/>
      <c r="J465" s="21"/>
      <c r="K465" s="21"/>
    </row>
    <row r="466" spans="1:11" ht="34.049999999999997" customHeight="1" x14ac:dyDescent="0.3">
      <c r="A466" s="21"/>
      <c r="B466" s="67"/>
      <c r="C466" s="67"/>
      <c r="D466" s="56"/>
      <c r="E466" s="21"/>
      <c r="F466" s="21"/>
      <c r="G466" s="21"/>
      <c r="H466" s="21"/>
      <c r="I466" s="21"/>
      <c r="J466" s="21"/>
      <c r="K466" s="21"/>
    </row>
    <row r="467" spans="1:11" ht="34.049999999999997" customHeight="1" x14ac:dyDescent="0.3">
      <c r="A467" s="21"/>
      <c r="B467" s="67"/>
      <c r="C467" s="67"/>
      <c r="D467" s="56"/>
      <c r="E467" s="21"/>
      <c r="F467" s="21"/>
      <c r="G467" s="21"/>
      <c r="H467" s="21"/>
      <c r="I467" s="21"/>
      <c r="J467" s="21"/>
      <c r="K467" s="21"/>
    </row>
    <row r="468" spans="1:11" ht="34.049999999999997" customHeight="1" x14ac:dyDescent="0.3">
      <c r="A468" s="21"/>
      <c r="B468" s="67"/>
      <c r="C468" s="67"/>
      <c r="D468" s="56"/>
      <c r="E468" s="21"/>
      <c r="F468" s="21"/>
      <c r="G468" s="21"/>
      <c r="H468" s="21"/>
      <c r="I468" s="21"/>
      <c r="J468" s="21"/>
      <c r="K468" s="21"/>
    </row>
    <row r="469" spans="1:11" ht="34.049999999999997" customHeight="1" x14ac:dyDescent="0.3">
      <c r="A469" s="21"/>
      <c r="B469" s="67"/>
      <c r="C469" s="67"/>
      <c r="D469" s="56"/>
      <c r="E469" s="21"/>
      <c r="F469" s="21"/>
      <c r="G469" s="21"/>
      <c r="H469" s="21"/>
      <c r="I469" s="21"/>
      <c r="J469" s="21"/>
      <c r="K469" s="21"/>
    </row>
    <row r="470" spans="1:11" ht="34.049999999999997" customHeight="1" x14ac:dyDescent="0.3">
      <c r="A470" s="21"/>
      <c r="B470" s="67"/>
      <c r="C470" s="67"/>
      <c r="D470" s="56"/>
      <c r="E470" s="21"/>
      <c r="F470" s="21"/>
      <c r="G470" s="21"/>
      <c r="H470" s="21"/>
      <c r="I470" s="21"/>
      <c r="J470" s="21"/>
      <c r="K470" s="21"/>
    </row>
    <row r="471" spans="1:11" ht="34.049999999999997" customHeight="1" x14ac:dyDescent="0.3">
      <c r="A471" s="21"/>
      <c r="B471" s="67"/>
      <c r="C471" s="67"/>
      <c r="D471" s="56"/>
      <c r="E471" s="21"/>
      <c r="F471" s="21"/>
      <c r="G471" s="21"/>
      <c r="H471" s="21"/>
      <c r="I471" s="21"/>
      <c r="J471" s="21"/>
      <c r="K471" s="21"/>
    </row>
    <row r="472" spans="1:11" ht="34.049999999999997" customHeight="1" x14ac:dyDescent="0.3">
      <c r="A472" s="21"/>
      <c r="B472" s="67"/>
      <c r="C472" s="67"/>
      <c r="D472" s="56"/>
      <c r="E472" s="21"/>
      <c r="F472" s="21"/>
      <c r="G472" s="21"/>
      <c r="H472" s="21"/>
      <c r="I472" s="21"/>
      <c r="J472" s="21"/>
      <c r="K472" s="21"/>
    </row>
    <row r="473" spans="1:11" ht="34.049999999999997" customHeight="1" x14ac:dyDescent="0.3">
      <c r="A473" s="21"/>
      <c r="B473" s="67"/>
      <c r="C473" s="67"/>
      <c r="D473" s="56"/>
      <c r="E473" s="21"/>
      <c r="F473" s="21"/>
      <c r="G473" s="21"/>
      <c r="H473" s="21"/>
      <c r="I473" s="21"/>
      <c r="J473" s="21"/>
      <c r="K473" s="21"/>
    </row>
    <row r="474" spans="1:11" ht="34.049999999999997" customHeight="1" x14ac:dyDescent="0.3">
      <c r="A474" s="21"/>
      <c r="B474" s="67"/>
      <c r="C474" s="67"/>
      <c r="D474" s="56"/>
      <c r="E474" s="21"/>
      <c r="F474" s="21"/>
      <c r="G474" s="21"/>
      <c r="H474" s="21"/>
      <c r="I474" s="21"/>
      <c r="J474" s="21"/>
      <c r="K474" s="21"/>
    </row>
    <row r="475" spans="1:11" ht="34.049999999999997" customHeight="1" x14ac:dyDescent="0.3">
      <c r="A475" s="21"/>
      <c r="B475" s="67"/>
      <c r="C475" s="67"/>
      <c r="D475" s="56"/>
      <c r="E475" s="21"/>
      <c r="F475" s="21"/>
      <c r="G475" s="21"/>
      <c r="H475" s="21"/>
      <c r="I475" s="21"/>
      <c r="J475" s="21"/>
      <c r="K475" s="21"/>
    </row>
    <row r="476" spans="1:11" ht="34.049999999999997" customHeight="1" x14ac:dyDescent="0.3">
      <c r="A476" s="21"/>
      <c r="B476" s="67"/>
      <c r="C476" s="67"/>
      <c r="D476" s="56"/>
      <c r="E476" s="21"/>
      <c r="F476" s="21"/>
      <c r="G476" s="21"/>
      <c r="H476" s="21"/>
      <c r="I476" s="21"/>
      <c r="J476" s="21"/>
      <c r="K476" s="21"/>
    </row>
    <row r="477" spans="1:11" ht="34.049999999999997" customHeight="1" x14ac:dyDescent="0.3">
      <c r="A477" s="21"/>
      <c r="B477" s="67"/>
      <c r="C477" s="67"/>
      <c r="D477" s="56"/>
      <c r="E477" s="21"/>
      <c r="F477" s="21"/>
      <c r="G477" s="21"/>
      <c r="H477" s="21"/>
      <c r="I477" s="21"/>
      <c r="J477" s="21"/>
      <c r="K477" s="21"/>
    </row>
    <row r="478" spans="1:11" ht="34.049999999999997" customHeight="1" x14ac:dyDescent="0.3">
      <c r="A478" s="21"/>
      <c r="B478" s="67"/>
      <c r="C478" s="67"/>
      <c r="D478" s="56"/>
      <c r="E478" s="21"/>
      <c r="F478" s="21"/>
      <c r="G478" s="21"/>
      <c r="H478" s="21"/>
      <c r="I478" s="21"/>
      <c r="J478" s="21"/>
      <c r="K478" s="21"/>
    </row>
    <row r="479" spans="1:11" ht="34.049999999999997" customHeight="1" x14ac:dyDescent="0.3">
      <c r="A479" s="21"/>
      <c r="B479" s="67"/>
      <c r="C479" s="67"/>
      <c r="D479" s="56"/>
      <c r="E479" s="21"/>
      <c r="F479" s="21"/>
      <c r="G479" s="21"/>
      <c r="H479" s="21"/>
      <c r="I479" s="21"/>
      <c r="J479" s="21"/>
      <c r="K479" s="21"/>
    </row>
    <row r="480" spans="1:11" ht="34.049999999999997" customHeight="1" x14ac:dyDescent="0.3">
      <c r="A480" s="21"/>
      <c r="B480" s="67"/>
      <c r="C480" s="67"/>
      <c r="D480" s="56"/>
      <c r="E480" s="21"/>
      <c r="F480" s="21"/>
      <c r="G480" s="21"/>
      <c r="H480" s="21"/>
      <c r="I480" s="21"/>
      <c r="J480" s="21"/>
      <c r="K480" s="21"/>
    </row>
    <row r="481" spans="1:11" ht="34.049999999999997" customHeight="1" x14ac:dyDescent="0.3">
      <c r="A481" s="21"/>
      <c r="B481" s="67"/>
      <c r="C481" s="67"/>
      <c r="D481" s="56"/>
      <c r="E481" s="21"/>
      <c r="F481" s="21"/>
      <c r="G481" s="21"/>
      <c r="H481" s="21"/>
      <c r="I481" s="21"/>
      <c r="J481" s="21"/>
      <c r="K481" s="21"/>
    </row>
    <row r="482" spans="1:11" ht="34.049999999999997" customHeight="1" x14ac:dyDescent="0.3">
      <c r="A482" s="21"/>
      <c r="B482" s="67"/>
      <c r="C482" s="67"/>
      <c r="D482" s="56"/>
      <c r="E482" s="21"/>
      <c r="F482" s="21"/>
      <c r="G482" s="21"/>
      <c r="H482" s="21"/>
      <c r="I482" s="21"/>
      <c r="J482" s="21"/>
      <c r="K482" s="21"/>
    </row>
    <row r="483" spans="1:11" ht="34.049999999999997" customHeight="1" x14ac:dyDescent="0.3">
      <c r="A483" s="21"/>
      <c r="B483" s="67"/>
      <c r="C483" s="67"/>
      <c r="D483" s="56"/>
      <c r="E483" s="21"/>
      <c r="F483" s="21"/>
      <c r="G483" s="21"/>
      <c r="H483" s="21"/>
      <c r="I483" s="21"/>
      <c r="J483" s="21"/>
      <c r="K483" s="21"/>
    </row>
    <row r="484" spans="1:11" ht="34.049999999999997" customHeight="1" x14ac:dyDescent="0.3">
      <c r="A484" s="21"/>
      <c r="B484" s="67"/>
      <c r="C484" s="67"/>
      <c r="D484" s="56"/>
      <c r="E484" s="21"/>
      <c r="F484" s="21"/>
      <c r="G484" s="21"/>
      <c r="H484" s="21"/>
      <c r="I484" s="21"/>
      <c r="J484" s="21"/>
      <c r="K484" s="21"/>
    </row>
    <row r="485" spans="1:11" ht="34.049999999999997" customHeight="1" x14ac:dyDescent="0.3">
      <c r="A485" s="21"/>
      <c r="B485" s="67"/>
      <c r="C485" s="67"/>
      <c r="D485" s="56"/>
      <c r="E485" s="21"/>
      <c r="F485" s="21"/>
      <c r="G485" s="21"/>
      <c r="H485" s="21"/>
      <c r="I485" s="21"/>
      <c r="J485" s="21"/>
      <c r="K485" s="21"/>
    </row>
    <row r="486" spans="1:11" ht="34.049999999999997" customHeight="1" x14ac:dyDescent="0.3">
      <c r="A486" s="21"/>
      <c r="B486" s="67"/>
      <c r="C486" s="67"/>
      <c r="D486" s="56"/>
      <c r="E486" s="21"/>
      <c r="F486" s="21"/>
      <c r="G486" s="21"/>
      <c r="H486" s="21"/>
      <c r="I486" s="21"/>
      <c r="J486" s="21"/>
      <c r="K486" s="21"/>
    </row>
    <row r="487" spans="1:11" ht="34.049999999999997" customHeight="1" x14ac:dyDescent="0.3">
      <c r="A487" s="21"/>
      <c r="B487" s="67"/>
      <c r="C487" s="67"/>
      <c r="D487" s="56"/>
      <c r="E487" s="21"/>
      <c r="F487" s="21"/>
      <c r="G487" s="21"/>
      <c r="H487" s="21"/>
      <c r="I487" s="21"/>
      <c r="J487" s="21"/>
      <c r="K487" s="21"/>
    </row>
    <row r="488" spans="1:11" ht="34.049999999999997" customHeight="1" x14ac:dyDescent="0.3">
      <c r="A488" s="21"/>
      <c r="B488" s="67"/>
      <c r="C488" s="67"/>
      <c r="D488" s="56"/>
      <c r="E488" s="21"/>
      <c r="F488" s="21"/>
      <c r="G488" s="21"/>
      <c r="H488" s="21"/>
      <c r="I488" s="21"/>
      <c r="J488" s="21"/>
      <c r="K488" s="21"/>
    </row>
    <row r="489" spans="1:11" ht="34.049999999999997" customHeight="1" x14ac:dyDescent="0.3">
      <c r="A489" s="21"/>
      <c r="B489" s="67"/>
      <c r="C489" s="67"/>
      <c r="D489" s="56"/>
      <c r="E489" s="21"/>
      <c r="F489" s="21"/>
      <c r="G489" s="21"/>
      <c r="H489" s="21"/>
      <c r="I489" s="21"/>
      <c r="J489" s="21"/>
      <c r="K489" s="21"/>
    </row>
    <row r="490" spans="1:11" ht="34.049999999999997" customHeight="1" x14ac:dyDescent="0.3">
      <c r="A490" s="21"/>
      <c r="B490" s="67"/>
      <c r="C490" s="67"/>
      <c r="D490" s="56"/>
      <c r="E490" s="21"/>
      <c r="F490" s="21"/>
      <c r="G490" s="21"/>
      <c r="H490" s="21"/>
      <c r="I490" s="21"/>
      <c r="J490" s="21"/>
      <c r="K490" s="21"/>
    </row>
    <row r="491" spans="1:11" ht="34.049999999999997" customHeight="1" x14ac:dyDescent="0.3">
      <c r="A491" s="21"/>
      <c r="B491" s="67"/>
      <c r="C491" s="67"/>
      <c r="D491" s="56"/>
      <c r="E491" s="21"/>
      <c r="F491" s="21"/>
      <c r="G491" s="21"/>
      <c r="H491" s="21"/>
      <c r="I491" s="21"/>
      <c r="J491" s="21"/>
      <c r="K491" s="21"/>
    </row>
    <row r="492" spans="1:11" ht="34.049999999999997" customHeight="1" x14ac:dyDescent="0.3">
      <c r="A492" s="21"/>
      <c r="B492" s="67"/>
      <c r="C492" s="67"/>
      <c r="D492" s="56"/>
      <c r="E492" s="21"/>
      <c r="F492" s="21"/>
      <c r="G492" s="21"/>
      <c r="H492" s="21"/>
      <c r="I492" s="21"/>
      <c r="J492" s="21"/>
      <c r="K492" s="21"/>
    </row>
    <row r="493" spans="1:11" ht="34.049999999999997" customHeight="1" x14ac:dyDescent="0.3">
      <c r="A493" s="21"/>
      <c r="B493" s="67"/>
      <c r="C493" s="67"/>
      <c r="D493" s="56"/>
      <c r="E493" s="21"/>
      <c r="F493" s="21"/>
      <c r="G493" s="21"/>
      <c r="H493" s="21"/>
      <c r="I493" s="21"/>
      <c r="J493" s="21"/>
      <c r="K493" s="21"/>
    </row>
    <row r="494" spans="1:11" ht="34.049999999999997" customHeight="1" x14ac:dyDescent="0.3">
      <c r="A494" s="21"/>
      <c r="B494" s="67"/>
      <c r="C494" s="67"/>
      <c r="D494" s="56"/>
      <c r="E494" s="21"/>
      <c r="F494" s="21"/>
      <c r="G494" s="21"/>
      <c r="H494" s="21"/>
      <c r="I494" s="21"/>
      <c r="J494" s="21"/>
      <c r="K494" s="21"/>
    </row>
    <row r="495" spans="1:11" ht="34.049999999999997" customHeight="1" x14ac:dyDescent="0.3">
      <c r="A495" s="21"/>
      <c r="B495" s="67"/>
      <c r="C495" s="67"/>
      <c r="D495" s="56"/>
      <c r="E495" s="21"/>
      <c r="F495" s="21"/>
      <c r="G495" s="21"/>
      <c r="H495" s="21"/>
      <c r="I495" s="21"/>
      <c r="J495" s="21"/>
      <c r="K495" s="21"/>
    </row>
    <row r="496" spans="1:11" ht="34.049999999999997" customHeight="1" x14ac:dyDescent="0.3">
      <c r="A496" s="21"/>
      <c r="B496" s="67"/>
      <c r="C496" s="67"/>
      <c r="D496" s="56"/>
      <c r="E496" s="21"/>
      <c r="F496" s="21"/>
      <c r="G496" s="21"/>
      <c r="H496" s="21"/>
      <c r="I496" s="21"/>
      <c r="J496" s="21"/>
      <c r="K496" s="21"/>
    </row>
    <row r="497" spans="1:11" ht="34.049999999999997" customHeight="1" x14ac:dyDescent="0.3">
      <c r="A497" s="21"/>
      <c r="B497" s="67"/>
      <c r="C497" s="67"/>
      <c r="D497" s="56"/>
      <c r="E497" s="21"/>
      <c r="F497" s="21"/>
      <c r="G497" s="21"/>
      <c r="H497" s="21"/>
      <c r="I497" s="21"/>
      <c r="J497" s="21"/>
      <c r="K497" s="21"/>
    </row>
    <row r="498" spans="1:11" ht="34.049999999999997" customHeight="1" x14ac:dyDescent="0.3">
      <c r="A498" s="21"/>
      <c r="B498" s="67"/>
      <c r="C498" s="67"/>
      <c r="D498" s="56"/>
      <c r="E498" s="21"/>
      <c r="F498" s="21"/>
      <c r="G498" s="21"/>
      <c r="H498" s="21"/>
      <c r="I498" s="21"/>
      <c r="J498" s="21"/>
      <c r="K498" s="21"/>
    </row>
    <row r="499" spans="1:11" ht="34.049999999999997" customHeight="1" x14ac:dyDescent="0.3">
      <c r="A499" s="21"/>
      <c r="B499" s="67"/>
      <c r="C499" s="67"/>
      <c r="D499" s="56"/>
      <c r="E499" s="21"/>
      <c r="F499" s="21"/>
      <c r="G499" s="21"/>
      <c r="H499" s="21"/>
      <c r="I499" s="21"/>
      <c r="J499" s="21"/>
      <c r="K499" s="21"/>
    </row>
    <row r="500" spans="1:11" ht="34.049999999999997" customHeight="1" x14ac:dyDescent="0.3">
      <c r="A500" s="21"/>
      <c r="B500" s="67"/>
      <c r="C500" s="67"/>
      <c r="D500" s="56"/>
      <c r="E500" s="21"/>
      <c r="F500" s="21"/>
      <c r="G500" s="21"/>
      <c r="H500" s="21"/>
      <c r="I500" s="21"/>
      <c r="J500" s="21"/>
      <c r="K500" s="21"/>
    </row>
    <row r="501" spans="1:11" x14ac:dyDescent="0.3">
      <c r="B501" s="68"/>
      <c r="C501" s="68"/>
      <c r="D501" s="57"/>
    </row>
    <row r="502" spans="1:11" x14ac:dyDescent="0.3">
      <c r="B502" s="68"/>
      <c r="C502" s="68"/>
      <c r="D502" s="57"/>
    </row>
    <row r="503" spans="1:11" x14ac:dyDescent="0.3">
      <c r="B503" s="68"/>
      <c r="C503" s="68"/>
      <c r="D503" s="57"/>
    </row>
    <row r="504" spans="1:11" x14ac:dyDescent="0.3">
      <c r="B504" s="68"/>
      <c r="C504" s="68"/>
      <c r="D504" s="57"/>
    </row>
    <row r="505" spans="1:11" x14ac:dyDescent="0.3">
      <c r="B505" s="68"/>
      <c r="C505" s="68"/>
      <c r="D505" s="57"/>
    </row>
    <row r="506" spans="1:11" x14ac:dyDescent="0.3">
      <c r="B506" s="68"/>
      <c r="C506" s="68"/>
      <c r="D506" s="57"/>
    </row>
    <row r="507" spans="1:11" x14ac:dyDescent="0.3">
      <c r="B507" s="68"/>
      <c r="C507" s="68"/>
      <c r="D507" s="57"/>
    </row>
    <row r="508" spans="1:11" x14ac:dyDescent="0.3">
      <c r="B508" s="68"/>
      <c r="C508" s="68"/>
      <c r="D508" s="57"/>
    </row>
    <row r="509" spans="1:11" x14ac:dyDescent="0.3">
      <c r="B509" s="68"/>
      <c r="C509" s="68"/>
      <c r="D509" s="57"/>
    </row>
    <row r="510" spans="1:11" x14ac:dyDescent="0.3">
      <c r="B510" s="68"/>
      <c r="C510" s="68"/>
      <c r="D510" s="57"/>
    </row>
    <row r="511" spans="1:11" x14ac:dyDescent="0.3">
      <c r="B511" s="68"/>
      <c r="C511" s="68"/>
      <c r="D511" s="57"/>
    </row>
    <row r="512" spans="1:11" x14ac:dyDescent="0.3">
      <c r="B512" s="68"/>
      <c r="C512" s="68"/>
      <c r="D512" s="57"/>
    </row>
    <row r="513" spans="2:4" x14ac:dyDescent="0.3">
      <c r="B513" s="68"/>
      <c r="C513" s="68"/>
      <c r="D513" s="57"/>
    </row>
    <row r="514" spans="2:4" x14ac:dyDescent="0.3">
      <c r="B514" s="68"/>
      <c r="C514" s="68"/>
      <c r="D514" s="57"/>
    </row>
    <row r="515" spans="2:4" x14ac:dyDescent="0.3">
      <c r="B515" s="68"/>
      <c r="C515" s="68"/>
      <c r="D515" s="57"/>
    </row>
    <row r="516" spans="2:4" x14ac:dyDescent="0.3">
      <c r="B516" s="68"/>
      <c r="C516" s="68"/>
      <c r="D516" s="57"/>
    </row>
    <row r="517" spans="2:4" x14ac:dyDescent="0.3">
      <c r="B517" s="68"/>
      <c r="C517" s="68"/>
      <c r="D517" s="57"/>
    </row>
    <row r="518" spans="2:4" x14ac:dyDescent="0.3">
      <c r="B518" s="68"/>
      <c r="C518" s="68"/>
      <c r="D518" s="57"/>
    </row>
    <row r="519" spans="2:4" x14ac:dyDescent="0.3">
      <c r="B519" s="68"/>
      <c r="C519" s="68"/>
      <c r="D519" s="57"/>
    </row>
    <row r="520" spans="2:4" x14ac:dyDescent="0.3">
      <c r="B520" s="68"/>
      <c r="C520" s="68"/>
      <c r="D520" s="57"/>
    </row>
    <row r="521" spans="2:4" x14ac:dyDescent="0.3">
      <c r="B521" s="68"/>
      <c r="C521" s="68"/>
      <c r="D521" s="57"/>
    </row>
    <row r="522" spans="2:4" x14ac:dyDescent="0.3">
      <c r="B522" s="68"/>
      <c r="C522" s="68"/>
      <c r="D522" s="57"/>
    </row>
    <row r="523" spans="2:4" x14ac:dyDescent="0.3">
      <c r="B523" s="68"/>
      <c r="C523" s="68"/>
      <c r="D523" s="57"/>
    </row>
    <row r="524" spans="2:4" x14ac:dyDescent="0.3">
      <c r="B524" s="68"/>
      <c r="C524" s="68"/>
      <c r="D524" s="57"/>
    </row>
    <row r="525" spans="2:4" x14ac:dyDescent="0.3">
      <c r="B525" s="68"/>
      <c r="C525" s="68"/>
      <c r="D525" s="57"/>
    </row>
    <row r="526" spans="2:4" x14ac:dyDescent="0.3">
      <c r="B526" s="68"/>
      <c r="C526" s="68"/>
      <c r="D526" s="57"/>
    </row>
    <row r="527" spans="2:4" x14ac:dyDescent="0.3">
      <c r="B527" s="68"/>
      <c r="C527" s="68"/>
      <c r="D527" s="57"/>
    </row>
    <row r="528" spans="2:4" x14ac:dyDescent="0.3">
      <c r="B528" s="68"/>
      <c r="C528" s="68"/>
      <c r="D528" s="57"/>
    </row>
    <row r="529" spans="2:4" x14ac:dyDescent="0.3">
      <c r="B529" s="68"/>
      <c r="C529" s="68"/>
      <c r="D529" s="57"/>
    </row>
    <row r="530" spans="2:4" x14ac:dyDescent="0.3">
      <c r="B530" s="68"/>
      <c r="C530" s="68"/>
      <c r="D530" s="57"/>
    </row>
    <row r="531" spans="2:4" x14ac:dyDescent="0.3">
      <c r="B531" s="68"/>
      <c r="C531" s="68"/>
      <c r="D531" s="57"/>
    </row>
    <row r="532" spans="2:4" x14ac:dyDescent="0.3">
      <c r="B532" s="68"/>
      <c r="C532" s="68"/>
      <c r="D532" s="57"/>
    </row>
    <row r="533" spans="2:4" x14ac:dyDescent="0.3">
      <c r="B533" s="68"/>
      <c r="C533" s="68"/>
      <c r="D533" s="57"/>
    </row>
    <row r="534" spans="2:4" x14ac:dyDescent="0.3">
      <c r="B534" s="68"/>
      <c r="C534" s="68"/>
      <c r="D534" s="57"/>
    </row>
    <row r="535" spans="2:4" x14ac:dyDescent="0.3">
      <c r="B535" s="68"/>
      <c r="C535" s="68"/>
      <c r="D535" s="57"/>
    </row>
    <row r="536" spans="2:4" x14ac:dyDescent="0.3">
      <c r="B536" s="68"/>
      <c r="C536" s="68"/>
      <c r="D536" s="57"/>
    </row>
    <row r="537" spans="2:4" x14ac:dyDescent="0.3">
      <c r="B537" s="68"/>
      <c r="C537" s="68"/>
      <c r="D537" s="57"/>
    </row>
    <row r="538" spans="2:4" x14ac:dyDescent="0.3">
      <c r="B538" s="68"/>
      <c r="C538" s="68"/>
      <c r="D538" s="57"/>
    </row>
    <row r="539" spans="2:4" x14ac:dyDescent="0.3">
      <c r="B539" s="68"/>
      <c r="C539" s="68"/>
      <c r="D539" s="57"/>
    </row>
    <row r="540" spans="2:4" x14ac:dyDescent="0.3">
      <c r="B540" s="68"/>
      <c r="C540" s="68"/>
      <c r="D540" s="57"/>
    </row>
    <row r="541" spans="2:4" x14ac:dyDescent="0.3">
      <c r="B541" s="68"/>
      <c r="C541" s="68"/>
      <c r="D541" s="57"/>
    </row>
    <row r="542" spans="2:4" x14ac:dyDescent="0.3">
      <c r="B542" s="68"/>
      <c r="C542" s="68"/>
      <c r="D542" s="57"/>
    </row>
    <row r="543" spans="2:4" x14ac:dyDescent="0.3">
      <c r="B543" s="68"/>
      <c r="C543" s="68"/>
      <c r="D543" s="57"/>
    </row>
    <row r="544" spans="2:4" x14ac:dyDescent="0.3">
      <c r="B544" s="68"/>
      <c r="C544" s="68"/>
      <c r="D544" s="57"/>
    </row>
    <row r="545" spans="2:4" x14ac:dyDescent="0.3">
      <c r="B545" s="68"/>
      <c r="C545" s="68"/>
      <c r="D545" s="57"/>
    </row>
    <row r="546" spans="2:4" x14ac:dyDescent="0.3">
      <c r="B546" s="68"/>
      <c r="C546" s="68"/>
      <c r="D546" s="57"/>
    </row>
    <row r="547" spans="2:4" x14ac:dyDescent="0.3">
      <c r="B547" s="68"/>
      <c r="C547" s="68"/>
      <c r="D547" s="57"/>
    </row>
    <row r="548" spans="2:4" x14ac:dyDescent="0.3">
      <c r="B548" s="68"/>
      <c r="C548" s="68"/>
      <c r="D548" s="57"/>
    </row>
    <row r="549" spans="2:4" x14ac:dyDescent="0.3">
      <c r="B549" s="68"/>
      <c r="C549" s="68"/>
      <c r="D549" s="57"/>
    </row>
    <row r="550" spans="2:4" x14ac:dyDescent="0.3">
      <c r="B550" s="68"/>
      <c r="C550" s="68"/>
      <c r="D550" s="57"/>
    </row>
  </sheetData>
  <phoneticPr fontId="16" type="noConversion"/>
  <conditionalFormatting sqref="A2:K500">
    <cfRule type="expression" dxfId="5" priority="13">
      <formula>OR($K2="ιατρική ακύρωση",$K2="διακομισμένος",$K2="προσωρινό εξιτήριο",$K2="εξιτήριο")</formula>
    </cfRule>
  </conditionalFormatting>
  <conditionalFormatting sqref="D2:D500">
    <cfRule type="expression" dxfId="4" priority="11">
      <formula>OR($K2="αναβολή ΦΘ",$K2="αναβολή και τα δύο")</formula>
    </cfRule>
  </conditionalFormatting>
  <conditionalFormatting sqref="E2:E500">
    <cfRule type="expression" dxfId="3" priority="10">
      <formula>LEN($E2)&gt;0</formula>
    </cfRule>
    <cfRule type="expression" dxfId="2" priority="12">
      <formula>OR($K2="αναβολή Ρομποτικού",$K2="αναβολή και τα δύο")</formula>
    </cfRule>
  </conditionalFormatting>
  <conditionalFormatting sqref="B2:C100">
    <cfRule type="expression" dxfId="1" priority="1">
      <formula>ISNUMBER(SEARCH("N",$A2))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Φύλλο10"/>
  <dimension ref="A1:F18"/>
  <sheetViews>
    <sheetView zoomScale="140" zoomScaleNormal="140" workbookViewId="0">
      <selection activeCell="B19" sqref="B19"/>
    </sheetView>
  </sheetViews>
  <sheetFormatPr defaultRowHeight="14.4" x14ac:dyDescent="0.3"/>
  <cols>
    <col min="1" max="1" width="18.77734375" customWidth="1"/>
    <col min="2" max="4" width="12.77734375" customWidth="1"/>
    <col min="5" max="5" width="14.77734375" customWidth="1"/>
    <col min="6" max="6" width="12.77734375" customWidth="1"/>
  </cols>
  <sheetData>
    <row r="1" spans="1:6" x14ac:dyDescent="0.3">
      <c r="A1" s="30" t="s">
        <v>246</v>
      </c>
      <c r="B1" s="30" t="s">
        <v>263</v>
      </c>
      <c r="C1" s="30" t="s">
        <v>264</v>
      </c>
      <c r="D1" s="30" t="s">
        <v>265</v>
      </c>
      <c r="E1" s="30" t="s">
        <v>84</v>
      </c>
      <c r="F1" s="30" t="s">
        <v>266</v>
      </c>
    </row>
    <row r="2" spans="1:6" x14ac:dyDescent="0.3">
      <c r="A2" t="s">
        <v>40</v>
      </c>
      <c r="B2" t="s">
        <v>109</v>
      </c>
      <c r="C2">
        <v>5</v>
      </c>
      <c r="D2">
        <v>5</v>
      </c>
      <c r="E2">
        <v>1</v>
      </c>
    </row>
    <row r="3" spans="1:6" x14ac:dyDescent="0.3">
      <c r="A3" t="s">
        <v>43</v>
      </c>
      <c r="B3" t="s">
        <v>109</v>
      </c>
      <c r="C3">
        <v>6</v>
      </c>
      <c r="D3">
        <v>6</v>
      </c>
      <c r="E3">
        <v>2</v>
      </c>
    </row>
    <row r="4" spans="1:6" x14ac:dyDescent="0.3">
      <c r="A4" t="s">
        <v>46</v>
      </c>
      <c r="B4" t="s">
        <v>109</v>
      </c>
      <c r="C4">
        <v>6</v>
      </c>
      <c r="D4">
        <v>7</v>
      </c>
      <c r="E4">
        <v>2</v>
      </c>
    </row>
    <row r="5" spans="1:6" x14ac:dyDescent="0.3">
      <c r="A5" t="s">
        <v>54</v>
      </c>
      <c r="B5" t="s">
        <v>109</v>
      </c>
      <c r="C5">
        <v>4</v>
      </c>
      <c r="D5">
        <v>4</v>
      </c>
      <c r="E5">
        <v>1</v>
      </c>
    </row>
    <row r="6" spans="1:6" x14ac:dyDescent="0.3">
      <c r="A6" t="s">
        <v>52</v>
      </c>
      <c r="B6" t="s">
        <v>109</v>
      </c>
      <c r="C6">
        <v>4</v>
      </c>
      <c r="D6">
        <v>4</v>
      </c>
      <c r="E6">
        <v>1</v>
      </c>
    </row>
    <row r="7" spans="1:6" x14ac:dyDescent="0.3">
      <c r="A7" t="s">
        <v>55</v>
      </c>
      <c r="B7" t="s">
        <v>109</v>
      </c>
      <c r="C7">
        <v>6</v>
      </c>
      <c r="D7">
        <v>7</v>
      </c>
      <c r="E7">
        <v>2</v>
      </c>
    </row>
    <row r="8" spans="1:6" x14ac:dyDescent="0.3">
      <c r="A8" t="s">
        <v>32</v>
      </c>
      <c r="B8" t="s">
        <v>109</v>
      </c>
      <c r="C8">
        <v>6</v>
      </c>
      <c r="D8">
        <v>6</v>
      </c>
      <c r="E8">
        <v>1</v>
      </c>
    </row>
    <row r="9" spans="1:6" x14ac:dyDescent="0.3">
      <c r="A9" t="s">
        <v>53</v>
      </c>
      <c r="B9" t="s">
        <v>109</v>
      </c>
      <c r="C9">
        <v>6</v>
      </c>
      <c r="D9">
        <v>6</v>
      </c>
      <c r="E9">
        <v>1</v>
      </c>
    </row>
    <row r="10" spans="1:6" x14ac:dyDescent="0.3">
      <c r="A10" t="s">
        <v>41</v>
      </c>
      <c r="B10" t="s">
        <v>109</v>
      </c>
      <c r="C10">
        <v>6</v>
      </c>
      <c r="D10">
        <v>6</v>
      </c>
      <c r="E10">
        <v>1</v>
      </c>
    </row>
    <row r="11" spans="1:6" x14ac:dyDescent="0.3">
      <c r="A11" t="s">
        <v>62</v>
      </c>
      <c r="B11" t="s">
        <v>109</v>
      </c>
      <c r="C11">
        <v>0</v>
      </c>
      <c r="D11">
        <v>0</v>
      </c>
      <c r="E11">
        <v>0</v>
      </c>
    </row>
    <row r="12" spans="1:6" x14ac:dyDescent="0.3">
      <c r="A12" t="s">
        <v>49</v>
      </c>
      <c r="B12" t="s">
        <v>109</v>
      </c>
      <c r="C12">
        <v>6</v>
      </c>
      <c r="D12">
        <v>6</v>
      </c>
      <c r="E12">
        <v>1</v>
      </c>
    </row>
    <row r="13" spans="1:6" x14ac:dyDescent="0.3">
      <c r="A13" t="s">
        <v>57</v>
      </c>
      <c r="B13" t="s">
        <v>109</v>
      </c>
      <c r="C13">
        <v>6</v>
      </c>
      <c r="D13">
        <v>8</v>
      </c>
      <c r="E13">
        <v>1</v>
      </c>
      <c r="F13" t="s">
        <v>267</v>
      </c>
    </row>
    <row r="14" spans="1:6" x14ac:dyDescent="0.3">
      <c r="A14" t="s">
        <v>45</v>
      </c>
      <c r="B14" t="s">
        <v>109</v>
      </c>
      <c r="C14">
        <v>7</v>
      </c>
      <c r="D14">
        <v>8</v>
      </c>
      <c r="E14">
        <v>1</v>
      </c>
    </row>
    <row r="15" spans="1:6" x14ac:dyDescent="0.3">
      <c r="A15" t="s">
        <v>58</v>
      </c>
      <c r="B15" t="s">
        <v>109</v>
      </c>
      <c r="C15">
        <v>3</v>
      </c>
      <c r="D15">
        <v>3</v>
      </c>
      <c r="E15">
        <v>0</v>
      </c>
    </row>
    <row r="16" spans="1:6" x14ac:dyDescent="0.3">
      <c r="A16" t="s">
        <v>51</v>
      </c>
      <c r="B16" t="s">
        <v>109</v>
      </c>
      <c r="C16">
        <v>0</v>
      </c>
      <c r="D16">
        <v>0</v>
      </c>
      <c r="E16">
        <v>0</v>
      </c>
    </row>
    <row r="17" spans="1:5" x14ac:dyDescent="0.3">
      <c r="A17" t="s">
        <v>47</v>
      </c>
      <c r="B17" t="s">
        <v>109</v>
      </c>
      <c r="C17">
        <v>5</v>
      </c>
      <c r="D17">
        <v>5</v>
      </c>
      <c r="E17">
        <v>1</v>
      </c>
    </row>
    <row r="18" spans="1:5" x14ac:dyDescent="0.3">
      <c r="A18" t="s">
        <v>56</v>
      </c>
      <c r="B18" t="s">
        <v>109</v>
      </c>
      <c r="C18">
        <v>6</v>
      </c>
      <c r="D18">
        <v>8</v>
      </c>
      <c r="E18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Φύλλο3"/>
  <dimension ref="A1:A25"/>
  <sheetViews>
    <sheetView zoomScale="98" zoomScaleNormal="98" workbookViewId="0">
      <selection activeCell="D11" sqref="D11"/>
    </sheetView>
  </sheetViews>
  <sheetFormatPr defaultRowHeight="14.4" x14ac:dyDescent="0.3"/>
  <cols>
    <col min="1" max="29" width="24.77734375" customWidth="1"/>
  </cols>
  <sheetData>
    <row r="1" spans="1:1" ht="22.05" customHeight="1" x14ac:dyDescent="0.3">
      <c r="A1" t="s">
        <v>294</v>
      </c>
    </row>
    <row r="2" spans="1:1" ht="31.95" customHeight="1" x14ac:dyDescent="0.3"/>
    <row r="3" spans="1:1" ht="31.95" customHeight="1" x14ac:dyDescent="0.3"/>
    <row r="4" spans="1:1" ht="31.95" customHeight="1" x14ac:dyDescent="0.3"/>
    <row r="5" spans="1:1" ht="31.95" customHeight="1" x14ac:dyDescent="0.3"/>
    <row r="6" spans="1:1" ht="31.95" customHeight="1" x14ac:dyDescent="0.3"/>
    <row r="7" spans="1:1" ht="31.95" customHeight="1" x14ac:dyDescent="0.3"/>
    <row r="8" spans="1:1" ht="31.95" customHeight="1" x14ac:dyDescent="0.3"/>
    <row r="9" spans="1:1" ht="31.95" customHeight="1" x14ac:dyDescent="0.3"/>
    <row r="10" spans="1:1" ht="31.95" customHeight="1" x14ac:dyDescent="0.3"/>
    <row r="11" spans="1:1" ht="31.95" customHeight="1" x14ac:dyDescent="0.3"/>
    <row r="12" spans="1:1" ht="31.95" customHeight="1" x14ac:dyDescent="0.3"/>
    <row r="13" spans="1:1" ht="31.95" customHeight="1" x14ac:dyDescent="0.3"/>
    <row r="14" spans="1:1" ht="31.95" customHeight="1" x14ac:dyDescent="0.3"/>
    <row r="15" spans="1:1" ht="31.95" customHeight="1" x14ac:dyDescent="0.3"/>
    <row r="16" spans="1:1" ht="31.95" customHeight="1" x14ac:dyDescent="0.3"/>
    <row r="17" ht="31.95" customHeight="1" x14ac:dyDescent="0.3"/>
    <row r="18" ht="31.95" customHeight="1" x14ac:dyDescent="0.3"/>
    <row r="19" ht="31.95" customHeight="1" x14ac:dyDescent="0.3"/>
    <row r="20" ht="31.95" customHeight="1" x14ac:dyDescent="0.3"/>
    <row r="21" ht="31.95" customHeight="1" x14ac:dyDescent="0.3"/>
    <row r="22" ht="31.95" customHeight="1" x14ac:dyDescent="0.3"/>
    <row r="23" ht="31.95" customHeight="1" x14ac:dyDescent="0.3"/>
    <row r="24" ht="31.95" customHeight="1" x14ac:dyDescent="0.3"/>
    <row r="25" ht="31.95" customHeight="1" x14ac:dyDescent="0.3"/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DD682-D468-43E3-9008-AEE6531631DD}">
  <sheetPr codeName="Φύλλο13"/>
  <dimension ref="A1:H3"/>
  <sheetViews>
    <sheetView workbookViewId="0">
      <selection activeCell="A3" sqref="A3:G3"/>
    </sheetView>
  </sheetViews>
  <sheetFormatPr defaultRowHeight="14.4" x14ac:dyDescent="0.3"/>
  <cols>
    <col min="1" max="1" width="15.6640625" bestFit="1" customWidth="1"/>
    <col min="2" max="2" width="8" bestFit="1" customWidth="1"/>
    <col min="3" max="3" width="18.109375" bestFit="1" customWidth="1"/>
    <col min="4" max="4" width="10.44140625" bestFit="1" customWidth="1"/>
    <col min="5" max="5" width="15.77734375" bestFit="1" customWidth="1"/>
    <col min="6" max="6" width="8.21875" bestFit="1" customWidth="1"/>
    <col min="7" max="7" width="6" bestFit="1" customWidth="1"/>
    <col min="8" max="8" width="5.109375" bestFit="1" customWidth="1"/>
  </cols>
  <sheetData>
    <row r="1" spans="1:8" x14ac:dyDescent="0.3">
      <c r="A1" t="s">
        <v>270</v>
      </c>
      <c r="B1" t="s">
        <v>2</v>
      </c>
      <c r="C1" t="s">
        <v>271</v>
      </c>
      <c r="D1" t="s">
        <v>272</v>
      </c>
      <c r="E1" t="s">
        <v>273</v>
      </c>
      <c r="F1" t="s">
        <v>274</v>
      </c>
      <c r="G1" t="s">
        <v>275</v>
      </c>
      <c r="H1" t="s">
        <v>276</v>
      </c>
    </row>
    <row r="2" spans="1:8" x14ac:dyDescent="0.3">
      <c r="A2" s="45">
        <v>46109.722893518519</v>
      </c>
      <c r="B2" t="s">
        <v>115</v>
      </c>
      <c r="C2" t="s">
        <v>43</v>
      </c>
      <c r="D2" s="44">
        <v>0.51041666666666663</v>
      </c>
      <c r="E2" t="s">
        <v>49</v>
      </c>
      <c r="F2" s="44">
        <v>0.35416666666666669</v>
      </c>
      <c r="G2" t="s">
        <v>278</v>
      </c>
    </row>
    <row r="3" spans="1:8" x14ac:dyDescent="0.3">
      <c r="A3" s="45">
        <v>46110.010659722226</v>
      </c>
      <c r="B3" t="s">
        <v>105</v>
      </c>
      <c r="C3" t="s">
        <v>32</v>
      </c>
      <c r="D3" s="44">
        <v>0.35416666666666669</v>
      </c>
      <c r="E3" t="s">
        <v>49</v>
      </c>
      <c r="F3" s="44">
        <v>0.38541666666666669</v>
      </c>
      <c r="G3" t="s">
        <v>278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Φύλλο4"/>
  <dimension ref="A1:G1"/>
  <sheetViews>
    <sheetView zoomScale="140" zoomScaleNormal="140" workbookViewId="0"/>
  </sheetViews>
  <sheetFormatPr defaultRowHeight="14.4" x14ac:dyDescent="0.3"/>
  <cols>
    <col min="1" max="1" width="12" customWidth="1"/>
    <col min="2" max="2" width="24" customWidth="1"/>
    <col min="3" max="3" width="14" customWidth="1"/>
    <col min="4" max="4" width="18" customWidth="1"/>
    <col min="5" max="5" width="10" customWidth="1"/>
    <col min="6" max="6" width="22" customWidth="1"/>
    <col min="7" max="7" width="24" customWidth="1"/>
  </cols>
  <sheetData>
    <row r="1" spans="1:7" ht="28.8" customHeight="1" x14ac:dyDescent="0.3">
      <c r="A1" s="8" t="s">
        <v>76</v>
      </c>
      <c r="B1" s="8" t="s">
        <v>2</v>
      </c>
      <c r="C1" s="8" t="s">
        <v>77</v>
      </c>
      <c r="D1" s="8" t="s">
        <v>79</v>
      </c>
      <c r="E1" s="8" t="s">
        <v>80</v>
      </c>
      <c r="F1" s="8" t="s">
        <v>10</v>
      </c>
      <c r="G1" s="8" t="s">
        <v>78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Φύλλο5"/>
  <dimension ref="A1:E37"/>
  <sheetViews>
    <sheetView topLeftCell="A18" zoomScale="140" zoomScaleNormal="140" workbookViewId="0">
      <selection sqref="A1:D1"/>
    </sheetView>
  </sheetViews>
  <sheetFormatPr defaultRowHeight="14.4" x14ac:dyDescent="0.3"/>
  <cols>
    <col min="1" max="1" width="28" customWidth="1"/>
    <col min="2" max="2" width="12" customWidth="1"/>
    <col min="3" max="3" width="2" customWidth="1"/>
    <col min="4" max="4" width="24" customWidth="1"/>
    <col min="5" max="5" width="12" customWidth="1"/>
  </cols>
  <sheetData>
    <row r="1" spans="1:5" ht="18" customHeight="1" x14ac:dyDescent="0.35">
      <c r="A1" s="58" t="s">
        <v>81</v>
      </c>
      <c r="B1" s="59"/>
      <c r="C1" s="59"/>
      <c r="D1" s="59"/>
    </row>
    <row r="3" spans="1:5" x14ac:dyDescent="0.3">
      <c r="A3" s="10" t="s">
        <v>82</v>
      </c>
      <c r="B3" s="9">
        <f>COUNTA(PATIENTS!C2:C1000)</f>
        <v>93</v>
      </c>
      <c r="D3" s="11" t="s">
        <v>83</v>
      </c>
    </row>
    <row r="4" spans="1:5" x14ac:dyDescent="0.3">
      <c r="A4" s="10" t="s">
        <v>84</v>
      </c>
      <c r="B4" s="9">
        <f>COUNTIF(PATIENTS!D2:D1000,"Ν")</f>
        <v>20</v>
      </c>
      <c r="D4" t="s">
        <v>85</v>
      </c>
      <c r="E4">
        <f>COUNTIF(PATIENTS!E2:E1000,D4)</f>
        <v>85</v>
      </c>
    </row>
    <row r="5" spans="1:5" x14ac:dyDescent="0.3">
      <c r="A5" s="10" t="s">
        <v>86</v>
      </c>
      <c r="B5" s="9">
        <f>COUNTIF(PATIENT_PLANNER!F2:F1000,"&lt;&gt;")</f>
        <v>87</v>
      </c>
      <c r="D5" t="s">
        <v>87</v>
      </c>
      <c r="E5">
        <f>COUNTIF(PATIENTS!E2:E1000,D5)</f>
        <v>4</v>
      </c>
    </row>
    <row r="6" spans="1:5" x14ac:dyDescent="0.3">
      <c r="A6" s="10" t="s">
        <v>88</v>
      </c>
      <c r="B6" s="9">
        <f>COUNTIF(PATIENT_PLANNER!I2:I1000,"&lt;&gt;")</f>
        <v>7</v>
      </c>
      <c r="D6" t="s">
        <v>89</v>
      </c>
      <c r="E6">
        <f>COUNTIF(PATIENTS!E2:E1000,D6)</f>
        <v>1</v>
      </c>
    </row>
    <row r="7" spans="1:5" x14ac:dyDescent="0.3">
      <c r="A7" s="10" t="s">
        <v>90</v>
      </c>
      <c r="B7" s="9">
        <f>COUNTIF(THERAPIST_ATTENDANCE!B2:B100,"Π")</f>
        <v>0</v>
      </c>
      <c r="D7" t="s">
        <v>91</v>
      </c>
      <c r="E7">
        <f>COUNTIF(PATIENTS!E2:E1000,D7)</f>
        <v>0</v>
      </c>
    </row>
    <row r="8" spans="1:5" x14ac:dyDescent="0.3">
      <c r="A8" s="10" t="s">
        <v>92</v>
      </c>
      <c r="B8" s="9">
        <f>COUNTIF(THERAPIST_ATTENDANCE!B2:B100,"Α")</f>
        <v>0</v>
      </c>
      <c r="D8" t="s">
        <v>93</v>
      </c>
      <c r="E8">
        <f>COUNTIF(PATIENTS!E2:E1000,D8)</f>
        <v>3</v>
      </c>
    </row>
    <row r="9" spans="1:5" x14ac:dyDescent="0.3">
      <c r="D9" t="s">
        <v>94</v>
      </c>
      <c r="E9">
        <f>COUNTIF(PATIENTS!E2:E1000,D9)</f>
        <v>0</v>
      </c>
    </row>
    <row r="10" spans="1:5" x14ac:dyDescent="0.3">
      <c r="D10" t="s">
        <v>95</v>
      </c>
      <c r="E10">
        <f>COUNTIF(PATIENTS!E2:E1000,D10)</f>
        <v>0</v>
      </c>
    </row>
    <row r="11" spans="1:5" x14ac:dyDescent="0.3">
      <c r="D11" t="s">
        <v>96</v>
      </c>
      <c r="E11">
        <f>COUNTIF(PATIENTS!E2:E1000,D11)</f>
        <v>0</v>
      </c>
    </row>
    <row r="12" spans="1:5" x14ac:dyDescent="0.3">
      <c r="A12" s="11" t="s">
        <v>97</v>
      </c>
      <c r="D12" s="11" t="s">
        <v>98</v>
      </c>
    </row>
    <row r="13" spans="1:5" x14ac:dyDescent="0.3">
      <c r="A13" t="s">
        <v>30</v>
      </c>
      <c r="B13">
        <f>COUNTIF(PATIENT_PLANNER!F2:F1000,A13)+COUNTIF(PATIENT_PLANNER!I2:I1000,A13)+COUNTIF(PATIENT_PLANNER!N2:N1000,A13)+COUNTIF(PATIENT_PLANNER!P2:P1000,A13)+COUNTIF(PATIENT_PLANNER!R2:R1000,A13)+COUNTIF(PATIENT_PLANNER!T2:T1000,A13)</f>
        <v>21</v>
      </c>
      <c r="D13" t="s">
        <v>99</v>
      </c>
      <c r="E13">
        <f>COUNTIF(PATIENT_PLANNER!G2:G1000,"*Δε*")+COUNTIF(PATIENT_PLANNER!J2:J1000,"*Δε*")+COUNTIF(PATIENT_PLANNER!M2:M1000,"*Δε*")+COUNTIF(PATIENT_PLANNER!O2:O1000,"*Δε*")+COUNTIF(PATIENT_PLANNER!Q2:Q1000,"*Δε*")+COUNTIF(PATIENT_PLANNER!S2:S1000,"*Δε*")+COUNTIF(PATIENT_PLANNER!U2:U1000,"*Δε*")</f>
        <v>39</v>
      </c>
    </row>
    <row r="14" spans="1:5" x14ac:dyDescent="0.3">
      <c r="A14" t="s">
        <v>44</v>
      </c>
      <c r="B14">
        <f>COUNTIF(PATIENT_PLANNER!F2:F1000,A14)+COUNTIF(PATIENT_PLANNER!I2:I1000,A14)+COUNTIF(PATIENT_PLANNER!N2:N1000,A14)+COUNTIF(PATIENT_PLANNER!P2:P1000,A14)+COUNTIF(PATIENT_PLANNER!R2:R1000,A14)+COUNTIF(PATIENT_PLANNER!T2:T1000,A14)</f>
        <v>33</v>
      </c>
      <c r="D14" t="s">
        <v>100</v>
      </c>
      <c r="E14">
        <f>COUNTIF(PATIENT_PLANNER!G2:G1000,"*Τρ*")+COUNTIF(PATIENT_PLANNER!J2:J1000,"*Τρ*")+COUNTIF(PATIENT_PLANNER!M2:M1000,"*Τρ*")+COUNTIF(PATIENT_PLANNER!O2:O1000,"*Τρ*")+COUNTIF(PATIENT_PLANNER!Q2:Q1000,"*Τρ*")+COUNTIF(PATIENT_PLANNER!S2:S1000,"*Τρ*")+COUNTIF(PATIENT_PLANNER!U2:U1000,"*Τρ*")</f>
        <v>38</v>
      </c>
    </row>
    <row r="15" spans="1:5" x14ac:dyDescent="0.3">
      <c r="A15" t="s">
        <v>42</v>
      </c>
      <c r="B15">
        <f>COUNTIF(PATIENT_PLANNER!F2:F1000,A15)+COUNTIF(PATIENT_PLANNER!I2:I1000,A15)+COUNTIF(PATIENT_PLANNER!N2:N1000,A15)+COUNTIF(PATIENT_PLANNER!P2:P1000,A15)+COUNTIF(PATIENT_PLANNER!R2:R1000,A15)+COUNTIF(PATIENT_PLANNER!T2:T1000,A15)</f>
        <v>34</v>
      </c>
      <c r="D15" t="s">
        <v>101</v>
      </c>
      <c r="E15">
        <f>COUNTIF(PATIENT_PLANNER!G2:G1000,"*Τε*")+COUNTIF(PATIENT_PLANNER!J2:J1000,"*Τε*")+COUNTIF(PATIENT_PLANNER!M2:M1000,"*Τε*")+COUNTIF(PATIENT_PLANNER!O2:O1000,"*Τε*")+COUNTIF(PATIENT_PLANNER!Q2:Q1000,"*Τε*")+COUNTIF(PATIENT_PLANNER!S2:S1000,"*Τε*")+COUNTIF(PATIENT_PLANNER!U2:U1000,"*Τε*")</f>
        <v>42</v>
      </c>
    </row>
    <row r="16" spans="1:5" x14ac:dyDescent="0.3">
      <c r="A16" t="s">
        <v>37</v>
      </c>
      <c r="B16">
        <f>COUNTIF(PATIENT_PLANNER!F2:F1000,A16)+COUNTIF(PATIENT_PLANNER!I2:I1000,A16)+COUNTIF(PATIENT_PLANNER!N2:N1000,A16)+COUNTIF(PATIENT_PLANNER!P2:P1000,A16)+COUNTIF(PATIENT_PLANNER!R2:R1000,A16)+COUNTIF(PATIENT_PLANNER!T2:T1000,A16)</f>
        <v>28</v>
      </c>
      <c r="D16" t="s">
        <v>63</v>
      </c>
      <c r="E16">
        <f>COUNTIF(PATIENT_PLANNER!G2:G1000,"*Πε*")+COUNTIF(PATIENT_PLANNER!J2:J1000,"*Πε*")+COUNTIF(PATIENT_PLANNER!M2:M1000,"*Πε*")+COUNTIF(PATIENT_PLANNER!O2:O1000,"*Πε*")+COUNTIF(PATIENT_PLANNER!Q2:Q1000,"*Πε*")+COUNTIF(PATIENT_PLANNER!S2:S1000,"*Πε*")+COUNTIF(PATIENT_PLANNER!U2:U1000,"*Πε*")</f>
        <v>51</v>
      </c>
    </row>
    <row r="17" spans="1:5" x14ac:dyDescent="0.3">
      <c r="A17" t="s">
        <v>36</v>
      </c>
      <c r="B17">
        <f>COUNTIF(PATIENT_PLANNER!F2:F1000,A17)+COUNTIF(PATIENT_PLANNER!I2:I1000,A17)+COUNTIF(PATIENT_PLANNER!N2:N1000,A17)+COUNTIF(PATIENT_PLANNER!P2:P1000,A17)+COUNTIF(PATIENT_PLANNER!R2:R1000,A17)+COUNTIF(PATIENT_PLANNER!T2:T1000,A17)</f>
        <v>31</v>
      </c>
      <c r="D17" t="s">
        <v>102</v>
      </c>
      <c r="E17">
        <f>COUNTIF(PATIENT_PLANNER!G2:G1000,"*Πα*")+COUNTIF(PATIENT_PLANNER!J2:J1000,"*Πα*")+COUNTIF(PATIENT_PLANNER!M2:M1000,"*Πα*")+COUNTIF(PATIENT_PLANNER!O2:O1000,"*Πα*")+COUNTIF(PATIENT_PLANNER!Q2:Q1000,"*Πα*")+COUNTIF(PATIENT_PLANNER!S2:S1000,"*Πα*")+COUNTIF(PATIENT_PLANNER!U2:U1000,"*Πα*")</f>
        <v>31</v>
      </c>
    </row>
    <row r="18" spans="1:5" x14ac:dyDescent="0.3">
      <c r="A18" t="s">
        <v>39</v>
      </c>
      <c r="B18">
        <f>COUNTIF(PATIENT_PLANNER!F2:F1000,A18)+COUNTIF(PATIENT_PLANNER!I2:I1000,A18)+COUNTIF(PATIENT_PLANNER!N2:N1000,A18)+COUNTIF(PATIENT_PLANNER!P2:P1000,A18)+COUNTIF(PATIENT_PLANNER!R2:R1000,A18)+COUNTIF(PATIENT_PLANNER!T2:T1000,A18)</f>
        <v>23</v>
      </c>
    </row>
    <row r="19" spans="1:5" x14ac:dyDescent="0.3">
      <c r="A19" t="s">
        <v>74</v>
      </c>
      <c r="B19">
        <f>COUNTIF(PATIENT_PLANNER!F2:F1000,A19)+COUNTIF(PATIENT_PLANNER!I2:I1000,A19)+COUNTIF(PATIENT_PLANNER!N2:N1000,A19)+COUNTIF(PATIENT_PLANNER!P2:P1000,A19)+COUNTIF(PATIENT_PLANNER!R2:R1000,A19)+COUNTIF(PATIENT_PLANNER!T2:T1000,A19)</f>
        <v>3</v>
      </c>
    </row>
    <row r="20" spans="1:5" x14ac:dyDescent="0.3">
      <c r="A20" s="11" t="s">
        <v>103</v>
      </c>
    </row>
    <row r="21" spans="1:5" x14ac:dyDescent="0.3">
      <c r="A21" t="s">
        <v>40</v>
      </c>
      <c r="B21">
        <f>IFERROR(VLOOKUP(A21,THERAPIST_ATTENDANCE!A:C,3,FALSE),"")</f>
        <v>5</v>
      </c>
    </row>
    <row r="22" spans="1:5" x14ac:dyDescent="0.3">
      <c r="A22" t="s">
        <v>43</v>
      </c>
      <c r="B22">
        <f>IFERROR(VLOOKUP(A22,THERAPIST_ATTENDANCE!A:C,3,FALSE),"")</f>
        <v>6</v>
      </c>
    </row>
    <row r="23" spans="1:5" x14ac:dyDescent="0.3">
      <c r="A23" t="s">
        <v>46</v>
      </c>
      <c r="B23">
        <f>IFERROR(VLOOKUP(A23,THERAPIST_ATTENDANCE!A:C,3,FALSE),"")</f>
        <v>6</v>
      </c>
    </row>
    <row r="24" spans="1:5" x14ac:dyDescent="0.3">
      <c r="A24" t="s">
        <v>54</v>
      </c>
      <c r="B24">
        <f>IFERROR(VLOOKUP(A24,THERAPIST_ATTENDANCE!A:C,3,FALSE),"")</f>
        <v>4</v>
      </c>
    </row>
    <row r="25" spans="1:5" x14ac:dyDescent="0.3">
      <c r="A25" t="s">
        <v>52</v>
      </c>
      <c r="B25">
        <f>IFERROR(VLOOKUP(A25,THERAPIST_ATTENDANCE!A:C,3,FALSE),"")</f>
        <v>4</v>
      </c>
    </row>
    <row r="26" spans="1:5" x14ac:dyDescent="0.3">
      <c r="A26" t="s">
        <v>55</v>
      </c>
      <c r="B26">
        <f>IFERROR(VLOOKUP(A26,THERAPIST_ATTENDANCE!A:C,3,FALSE),"")</f>
        <v>6</v>
      </c>
    </row>
    <row r="27" spans="1:5" x14ac:dyDescent="0.3">
      <c r="A27" t="s">
        <v>32</v>
      </c>
      <c r="B27">
        <f>IFERROR(VLOOKUP(A27,THERAPIST_ATTENDANCE!A:C,3,FALSE),"")</f>
        <v>6</v>
      </c>
    </row>
    <row r="28" spans="1:5" x14ac:dyDescent="0.3">
      <c r="A28" t="s">
        <v>53</v>
      </c>
      <c r="B28">
        <f>IFERROR(VLOOKUP(A28,THERAPIST_ATTENDANCE!A:C,3,FALSE),"")</f>
        <v>6</v>
      </c>
    </row>
    <row r="29" spans="1:5" x14ac:dyDescent="0.3">
      <c r="A29" t="s">
        <v>41</v>
      </c>
      <c r="B29">
        <f>IFERROR(VLOOKUP(A29,THERAPIST_ATTENDANCE!A:C,3,FALSE),"")</f>
        <v>6</v>
      </c>
    </row>
    <row r="30" spans="1:5" x14ac:dyDescent="0.3">
      <c r="A30" t="s">
        <v>62</v>
      </c>
      <c r="B30">
        <f>IFERROR(VLOOKUP(A30,THERAPIST_ATTENDANCE!A:C,3,FALSE),"")</f>
        <v>0</v>
      </c>
    </row>
    <row r="31" spans="1:5" x14ac:dyDescent="0.3">
      <c r="A31" t="s">
        <v>49</v>
      </c>
      <c r="B31">
        <f>IFERROR(VLOOKUP(A31,THERAPIST_ATTENDANCE!A:C,3,FALSE),"")</f>
        <v>6</v>
      </c>
    </row>
    <row r="32" spans="1:5" x14ac:dyDescent="0.3">
      <c r="A32" t="s">
        <v>57</v>
      </c>
      <c r="B32">
        <f>IFERROR(VLOOKUP(A32,THERAPIST_ATTENDANCE!A:C,3,FALSE),"")</f>
        <v>6</v>
      </c>
    </row>
    <row r="33" spans="1:2" x14ac:dyDescent="0.3">
      <c r="A33" t="s">
        <v>45</v>
      </c>
      <c r="B33">
        <f>IFERROR(VLOOKUP(A33,THERAPIST_ATTENDANCE!A:C,3,FALSE),"")</f>
        <v>7</v>
      </c>
    </row>
    <row r="34" spans="1:2" x14ac:dyDescent="0.3">
      <c r="A34" t="s">
        <v>58</v>
      </c>
      <c r="B34">
        <f>IFERROR(VLOOKUP(A34,THERAPIST_ATTENDANCE!A:C,3,FALSE),"")</f>
        <v>3</v>
      </c>
    </row>
    <row r="35" spans="1:2" x14ac:dyDescent="0.3">
      <c r="A35" t="s">
        <v>51</v>
      </c>
      <c r="B35">
        <f>IFERROR(VLOOKUP(A35,THERAPIST_ATTENDANCE!A:C,3,FALSE),"")</f>
        <v>0</v>
      </c>
    </row>
    <row r="36" spans="1:2" x14ac:dyDescent="0.3">
      <c r="A36" t="s">
        <v>47</v>
      </c>
      <c r="B36">
        <f>IFERROR(VLOOKUP(A36,THERAPIST_ATTENDANCE!A:C,3,FALSE),"")</f>
        <v>5</v>
      </c>
    </row>
    <row r="37" spans="1:2" x14ac:dyDescent="0.3">
      <c r="A37" t="s">
        <v>56</v>
      </c>
      <c r="B37">
        <f>IFERROR(VLOOKUP(A37,THERAPIST_ATTENDANCE!A:C,3,FALSE),"")</f>
        <v>6</v>
      </c>
    </row>
  </sheetData>
  <mergeCells count="1">
    <mergeCell ref="A1:D1"/>
  </mergeCells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Φύλλο6"/>
  <dimension ref="A1:E550"/>
  <sheetViews>
    <sheetView zoomScale="130" zoomScaleNormal="130" workbookViewId="0">
      <pane ySplit="1" topLeftCell="A2" activePane="bottomLeft" state="frozen"/>
      <selection pane="bottomLeft" activeCell="C83" sqref="C83"/>
    </sheetView>
  </sheetViews>
  <sheetFormatPr defaultRowHeight="14.4" x14ac:dyDescent="0.3"/>
  <cols>
    <col min="1" max="2" width="10" customWidth="1"/>
    <col min="3" max="3" width="22" customWidth="1"/>
    <col min="4" max="4" width="12" customWidth="1"/>
    <col min="5" max="5" width="18" customWidth="1"/>
  </cols>
  <sheetData>
    <row r="1" spans="1:5" ht="28.8" customHeight="1" x14ac:dyDescent="0.3">
      <c r="A1" s="28" t="s">
        <v>11</v>
      </c>
      <c r="B1" s="28" t="s">
        <v>1</v>
      </c>
      <c r="C1" s="28" t="s">
        <v>2</v>
      </c>
      <c r="D1" s="28" t="s">
        <v>0</v>
      </c>
      <c r="E1" s="28" t="s">
        <v>10</v>
      </c>
    </row>
    <row r="2" spans="1:5" x14ac:dyDescent="0.3">
      <c r="A2" s="9">
        <f t="shared" ref="A2:A65" si="0">IF(C2="","",ROW()-1)</f>
        <v>1</v>
      </c>
      <c r="B2" s="2" t="s">
        <v>104</v>
      </c>
      <c r="C2" s="2" t="s">
        <v>105</v>
      </c>
      <c r="D2" s="9" t="s">
        <v>106</v>
      </c>
      <c r="E2" s="2" t="s">
        <v>85</v>
      </c>
    </row>
    <row r="3" spans="1:5" x14ac:dyDescent="0.3">
      <c r="A3" s="9">
        <f t="shared" si="0"/>
        <v>2</v>
      </c>
      <c r="B3" s="2" t="s">
        <v>107</v>
      </c>
      <c r="C3" s="12" t="s">
        <v>108</v>
      </c>
      <c r="D3" s="9" t="s">
        <v>109</v>
      </c>
      <c r="E3" s="2" t="s">
        <v>87</v>
      </c>
    </row>
    <row r="4" spans="1:5" x14ac:dyDescent="0.3">
      <c r="A4" s="9">
        <f t="shared" si="0"/>
        <v>3</v>
      </c>
      <c r="B4" s="2" t="s">
        <v>107</v>
      </c>
      <c r="C4" s="12" t="s">
        <v>110</v>
      </c>
      <c r="D4" s="9" t="s">
        <v>109</v>
      </c>
      <c r="E4" s="2" t="s">
        <v>85</v>
      </c>
    </row>
    <row r="5" spans="1:5" x14ac:dyDescent="0.3">
      <c r="A5" s="9">
        <f t="shared" si="0"/>
        <v>4</v>
      </c>
      <c r="B5" s="2" t="s">
        <v>107</v>
      </c>
      <c r="C5" s="12" t="s">
        <v>111</v>
      </c>
      <c r="D5" s="9" t="s">
        <v>109</v>
      </c>
      <c r="E5" s="2" t="s">
        <v>85</v>
      </c>
    </row>
    <row r="6" spans="1:5" x14ac:dyDescent="0.3">
      <c r="A6" s="9">
        <f t="shared" si="0"/>
        <v>5</v>
      </c>
      <c r="B6" s="2" t="s">
        <v>107</v>
      </c>
      <c r="C6" s="12" t="s">
        <v>112</v>
      </c>
      <c r="D6" s="9" t="s">
        <v>109</v>
      </c>
      <c r="E6" s="2" t="s">
        <v>85</v>
      </c>
    </row>
    <row r="7" spans="1:5" x14ac:dyDescent="0.3">
      <c r="A7" s="9">
        <f t="shared" si="0"/>
        <v>6</v>
      </c>
      <c r="B7" s="2" t="s">
        <v>113</v>
      </c>
      <c r="C7" s="12" t="s">
        <v>114</v>
      </c>
      <c r="D7" s="9" t="s">
        <v>109</v>
      </c>
      <c r="E7" s="2" t="s">
        <v>85</v>
      </c>
    </row>
    <row r="8" spans="1:5" x14ac:dyDescent="0.3">
      <c r="A8" s="9">
        <f t="shared" si="0"/>
        <v>7</v>
      </c>
      <c r="B8" s="2" t="s">
        <v>113</v>
      </c>
      <c r="C8" s="12" t="s">
        <v>115</v>
      </c>
      <c r="D8" s="9" t="s">
        <v>109</v>
      </c>
      <c r="E8" s="2" t="s">
        <v>85</v>
      </c>
    </row>
    <row r="9" spans="1:5" x14ac:dyDescent="0.3">
      <c r="A9" s="9">
        <f t="shared" si="0"/>
        <v>8</v>
      </c>
      <c r="B9" s="2" t="s">
        <v>113</v>
      </c>
      <c r="C9" s="12" t="s">
        <v>116</v>
      </c>
      <c r="D9" s="9" t="s">
        <v>109</v>
      </c>
      <c r="E9" s="2" t="s">
        <v>85</v>
      </c>
    </row>
    <row r="10" spans="1:5" x14ac:dyDescent="0.3">
      <c r="A10" s="9">
        <f t="shared" si="0"/>
        <v>9</v>
      </c>
      <c r="B10" s="2" t="s">
        <v>145</v>
      </c>
      <c r="C10" s="12" t="s">
        <v>117</v>
      </c>
      <c r="D10" s="9" t="s">
        <v>106</v>
      </c>
      <c r="E10" s="2" t="s">
        <v>85</v>
      </c>
    </row>
    <row r="11" spans="1:5" x14ac:dyDescent="0.3">
      <c r="A11" s="9">
        <f t="shared" si="0"/>
        <v>10</v>
      </c>
      <c r="B11" s="2" t="s">
        <v>118</v>
      </c>
      <c r="C11" s="2" t="s">
        <v>119</v>
      </c>
      <c r="D11" s="9" t="s">
        <v>106</v>
      </c>
      <c r="E11" s="2" t="s">
        <v>85</v>
      </c>
    </row>
    <row r="12" spans="1:5" x14ac:dyDescent="0.3">
      <c r="A12" s="9">
        <f t="shared" si="0"/>
        <v>11</v>
      </c>
      <c r="B12" s="2" t="s">
        <v>192</v>
      </c>
      <c r="C12" s="2" t="s">
        <v>120</v>
      </c>
      <c r="D12" s="9" t="s">
        <v>106</v>
      </c>
      <c r="E12" s="2" t="s">
        <v>85</v>
      </c>
    </row>
    <row r="13" spans="1:5" x14ac:dyDescent="0.3">
      <c r="A13" s="9">
        <f t="shared" si="0"/>
        <v>12</v>
      </c>
      <c r="B13" s="2" t="s">
        <v>121</v>
      </c>
      <c r="C13" s="2" t="s">
        <v>122</v>
      </c>
      <c r="D13" s="9" t="s">
        <v>106</v>
      </c>
      <c r="E13" s="2" t="s">
        <v>85</v>
      </c>
    </row>
    <row r="14" spans="1:5" x14ac:dyDescent="0.3">
      <c r="A14" s="9">
        <f t="shared" si="0"/>
        <v>13</v>
      </c>
      <c r="B14" s="2" t="s">
        <v>121</v>
      </c>
      <c r="C14" s="2" t="s">
        <v>123</v>
      </c>
      <c r="D14" s="9" t="s">
        <v>106</v>
      </c>
      <c r="E14" s="2" t="s">
        <v>85</v>
      </c>
    </row>
    <row r="15" spans="1:5" x14ac:dyDescent="0.3">
      <c r="A15" s="9">
        <f t="shared" si="0"/>
        <v>14</v>
      </c>
      <c r="B15" s="2" t="s">
        <v>121</v>
      </c>
      <c r="C15" s="2" t="s">
        <v>124</v>
      </c>
      <c r="D15" s="9" t="s">
        <v>106</v>
      </c>
      <c r="E15" s="2" t="s">
        <v>85</v>
      </c>
    </row>
    <row r="16" spans="1:5" x14ac:dyDescent="0.3">
      <c r="A16" s="9">
        <f t="shared" si="0"/>
        <v>15</v>
      </c>
      <c r="B16" s="2" t="s">
        <v>125</v>
      </c>
      <c r="C16" s="2" t="s">
        <v>126</v>
      </c>
      <c r="D16" s="9" t="s">
        <v>106</v>
      </c>
      <c r="E16" s="2" t="s">
        <v>89</v>
      </c>
    </row>
    <row r="17" spans="1:5" x14ac:dyDescent="0.3">
      <c r="A17" s="9">
        <f t="shared" si="0"/>
        <v>16</v>
      </c>
      <c r="B17" s="2" t="s">
        <v>125</v>
      </c>
      <c r="C17" s="2" t="s">
        <v>127</v>
      </c>
      <c r="D17" s="9" t="s">
        <v>106</v>
      </c>
      <c r="E17" s="2" t="s">
        <v>85</v>
      </c>
    </row>
    <row r="18" spans="1:5" x14ac:dyDescent="0.3">
      <c r="A18" s="9">
        <f t="shared" si="0"/>
        <v>17</v>
      </c>
      <c r="B18" s="2" t="s">
        <v>125</v>
      </c>
      <c r="C18" s="2" t="s">
        <v>128</v>
      </c>
      <c r="D18" s="9" t="s">
        <v>106</v>
      </c>
      <c r="E18" s="2" t="s">
        <v>85</v>
      </c>
    </row>
    <row r="19" spans="1:5" x14ac:dyDescent="0.3">
      <c r="A19" s="9">
        <f t="shared" si="0"/>
        <v>18</v>
      </c>
      <c r="B19" s="2" t="s">
        <v>125</v>
      </c>
      <c r="C19" s="2" t="s">
        <v>129</v>
      </c>
      <c r="D19" s="9" t="s">
        <v>106</v>
      </c>
      <c r="E19" s="2" t="s">
        <v>85</v>
      </c>
    </row>
    <row r="20" spans="1:5" x14ac:dyDescent="0.3">
      <c r="A20" s="9">
        <f t="shared" si="0"/>
        <v>19</v>
      </c>
      <c r="B20" s="2" t="s">
        <v>125</v>
      </c>
      <c r="C20" s="2" t="s">
        <v>130</v>
      </c>
      <c r="D20" s="9" t="s">
        <v>106</v>
      </c>
      <c r="E20" s="2" t="s">
        <v>85</v>
      </c>
    </row>
    <row r="21" spans="1:5" x14ac:dyDescent="0.3">
      <c r="A21" s="9">
        <f t="shared" si="0"/>
        <v>20</v>
      </c>
      <c r="B21" s="2" t="s">
        <v>131</v>
      </c>
      <c r="C21" s="2" t="s">
        <v>132</v>
      </c>
      <c r="D21" s="9" t="s">
        <v>106</v>
      </c>
      <c r="E21" s="2" t="s">
        <v>85</v>
      </c>
    </row>
    <row r="22" spans="1:5" x14ac:dyDescent="0.3">
      <c r="A22" s="9">
        <f t="shared" si="0"/>
        <v>21</v>
      </c>
      <c r="B22" s="2" t="s">
        <v>131</v>
      </c>
      <c r="C22" s="2" t="s">
        <v>133</v>
      </c>
      <c r="D22" s="9" t="s">
        <v>106</v>
      </c>
      <c r="E22" s="2" t="s">
        <v>85</v>
      </c>
    </row>
    <row r="23" spans="1:5" x14ac:dyDescent="0.3">
      <c r="A23" s="9">
        <f t="shared" si="0"/>
        <v>22</v>
      </c>
      <c r="B23" s="2" t="s">
        <v>131</v>
      </c>
      <c r="C23" s="2" t="s">
        <v>134</v>
      </c>
      <c r="D23" s="9" t="s">
        <v>106</v>
      </c>
      <c r="E23" s="2" t="s">
        <v>85</v>
      </c>
    </row>
    <row r="24" spans="1:5" x14ac:dyDescent="0.3">
      <c r="A24" s="9">
        <f t="shared" si="0"/>
        <v>23</v>
      </c>
      <c r="B24" s="2" t="s">
        <v>131</v>
      </c>
      <c r="C24" s="2" t="s">
        <v>135</v>
      </c>
      <c r="D24" s="9" t="s">
        <v>106</v>
      </c>
      <c r="E24" s="2" t="s">
        <v>85</v>
      </c>
    </row>
    <row r="25" spans="1:5" x14ac:dyDescent="0.3">
      <c r="A25" s="9">
        <f t="shared" si="0"/>
        <v>24</v>
      </c>
      <c r="B25" s="2" t="s">
        <v>131</v>
      </c>
      <c r="C25" s="2" t="s">
        <v>136</v>
      </c>
      <c r="D25" s="9" t="s">
        <v>106</v>
      </c>
      <c r="E25" s="2" t="s">
        <v>85</v>
      </c>
    </row>
    <row r="26" spans="1:5" x14ac:dyDescent="0.3">
      <c r="A26" s="9">
        <f t="shared" si="0"/>
        <v>25</v>
      </c>
      <c r="B26" s="2" t="s">
        <v>137</v>
      </c>
      <c r="C26" s="2" t="s">
        <v>138</v>
      </c>
      <c r="D26" s="9" t="s">
        <v>106</v>
      </c>
      <c r="E26" s="2" t="s">
        <v>93</v>
      </c>
    </row>
    <row r="27" spans="1:5" x14ac:dyDescent="0.3">
      <c r="A27" s="9">
        <f t="shared" si="0"/>
        <v>26</v>
      </c>
      <c r="B27" s="2" t="s">
        <v>137</v>
      </c>
      <c r="C27" s="2" t="s">
        <v>139</v>
      </c>
      <c r="D27" s="9" t="s">
        <v>106</v>
      </c>
      <c r="E27" s="2" t="s">
        <v>85</v>
      </c>
    </row>
    <row r="28" spans="1:5" x14ac:dyDescent="0.3">
      <c r="A28" s="9">
        <f t="shared" si="0"/>
        <v>27</v>
      </c>
      <c r="B28" s="2" t="s">
        <v>137</v>
      </c>
      <c r="C28" s="2" t="s">
        <v>140</v>
      </c>
      <c r="D28" s="9" t="s">
        <v>106</v>
      </c>
      <c r="E28" s="2" t="s">
        <v>85</v>
      </c>
    </row>
    <row r="29" spans="1:5" x14ac:dyDescent="0.3">
      <c r="A29" s="9">
        <f t="shared" si="0"/>
        <v>28</v>
      </c>
      <c r="B29" s="2" t="s">
        <v>141</v>
      </c>
      <c r="C29" s="2" t="s">
        <v>142</v>
      </c>
      <c r="D29" s="9" t="s">
        <v>106</v>
      </c>
      <c r="E29" s="2" t="s">
        <v>85</v>
      </c>
    </row>
    <row r="30" spans="1:5" x14ac:dyDescent="0.3">
      <c r="A30" s="9">
        <f t="shared" si="0"/>
        <v>29</v>
      </c>
      <c r="B30" s="2" t="s">
        <v>141</v>
      </c>
      <c r="C30" s="2" t="s">
        <v>143</v>
      </c>
      <c r="D30" s="9" t="s">
        <v>106</v>
      </c>
      <c r="E30" s="2" t="s">
        <v>85</v>
      </c>
    </row>
    <row r="31" spans="1:5" x14ac:dyDescent="0.3">
      <c r="A31" s="9">
        <f t="shared" si="0"/>
        <v>30</v>
      </c>
      <c r="B31" s="2" t="s">
        <v>141</v>
      </c>
      <c r="C31" s="2" t="s">
        <v>144</v>
      </c>
      <c r="D31" s="9" t="s">
        <v>106</v>
      </c>
      <c r="E31" s="2" t="s">
        <v>85</v>
      </c>
    </row>
    <row r="32" spans="1:5" x14ac:dyDescent="0.3">
      <c r="A32" s="9">
        <f t="shared" si="0"/>
        <v>31</v>
      </c>
      <c r="B32" s="2" t="s">
        <v>145</v>
      </c>
      <c r="C32" s="2" t="s">
        <v>146</v>
      </c>
      <c r="D32" s="9" t="s">
        <v>106</v>
      </c>
      <c r="E32" s="2" t="s">
        <v>85</v>
      </c>
    </row>
    <row r="33" spans="1:5" x14ac:dyDescent="0.3">
      <c r="A33" s="9">
        <f t="shared" si="0"/>
        <v>32</v>
      </c>
      <c r="B33" s="2" t="s">
        <v>145</v>
      </c>
      <c r="C33" s="2" t="s">
        <v>147</v>
      </c>
      <c r="D33" s="9" t="s">
        <v>106</v>
      </c>
      <c r="E33" s="2" t="s">
        <v>85</v>
      </c>
    </row>
    <row r="34" spans="1:5" x14ac:dyDescent="0.3">
      <c r="A34" s="9">
        <f t="shared" si="0"/>
        <v>33</v>
      </c>
      <c r="B34" s="2" t="s">
        <v>148</v>
      </c>
      <c r="C34" s="2" t="s">
        <v>149</v>
      </c>
      <c r="D34" s="9" t="s">
        <v>106</v>
      </c>
      <c r="E34" s="2" t="s">
        <v>85</v>
      </c>
    </row>
    <row r="35" spans="1:5" x14ac:dyDescent="0.3">
      <c r="A35" s="9" t="str">
        <f t="shared" si="0"/>
        <v/>
      </c>
      <c r="B35" s="2"/>
      <c r="C35" s="2"/>
      <c r="D35" s="9"/>
      <c r="E35" s="2"/>
    </row>
    <row r="36" spans="1:5" x14ac:dyDescent="0.3">
      <c r="A36" s="9">
        <f t="shared" si="0"/>
        <v>35</v>
      </c>
      <c r="B36" s="2" t="s">
        <v>152</v>
      </c>
      <c r="C36" s="2" t="s">
        <v>153</v>
      </c>
      <c r="D36" s="9" t="s">
        <v>106</v>
      </c>
      <c r="E36" s="2" t="s">
        <v>85</v>
      </c>
    </row>
    <row r="37" spans="1:5" x14ac:dyDescent="0.3">
      <c r="A37" s="9">
        <f t="shared" si="0"/>
        <v>36</v>
      </c>
      <c r="B37" s="2" t="s">
        <v>152</v>
      </c>
      <c r="C37" s="2" t="s">
        <v>154</v>
      </c>
      <c r="D37" s="9" t="s">
        <v>106</v>
      </c>
      <c r="E37" s="2" t="s">
        <v>85</v>
      </c>
    </row>
    <row r="38" spans="1:5" x14ac:dyDescent="0.3">
      <c r="A38" s="9">
        <f t="shared" si="0"/>
        <v>37</v>
      </c>
      <c r="B38" s="2" t="s">
        <v>152</v>
      </c>
      <c r="C38" s="2" t="s">
        <v>155</v>
      </c>
      <c r="D38" s="9" t="s">
        <v>106</v>
      </c>
      <c r="E38" s="2" t="s">
        <v>85</v>
      </c>
    </row>
    <row r="39" spans="1:5" x14ac:dyDescent="0.3">
      <c r="A39" s="9">
        <f t="shared" si="0"/>
        <v>38</v>
      </c>
      <c r="B39" s="2" t="s">
        <v>156</v>
      </c>
      <c r="C39" s="2" t="s">
        <v>157</v>
      </c>
      <c r="D39" s="9" t="s">
        <v>106</v>
      </c>
      <c r="E39" s="2" t="s">
        <v>85</v>
      </c>
    </row>
    <row r="40" spans="1:5" x14ac:dyDescent="0.3">
      <c r="A40" s="9">
        <f t="shared" si="0"/>
        <v>39</v>
      </c>
      <c r="B40" s="2" t="s">
        <v>158</v>
      </c>
      <c r="C40" s="2" t="s">
        <v>159</v>
      </c>
      <c r="D40" s="9" t="s">
        <v>106</v>
      </c>
      <c r="E40" s="2" t="s">
        <v>87</v>
      </c>
    </row>
    <row r="41" spans="1:5" x14ac:dyDescent="0.3">
      <c r="A41" s="9">
        <f t="shared" si="0"/>
        <v>40</v>
      </c>
      <c r="B41" s="2" t="s">
        <v>197</v>
      </c>
      <c r="C41" s="2" t="s">
        <v>160</v>
      </c>
      <c r="D41" s="9" t="s">
        <v>109</v>
      </c>
      <c r="E41" s="2" t="s">
        <v>85</v>
      </c>
    </row>
    <row r="42" spans="1:5" x14ac:dyDescent="0.3">
      <c r="A42" s="9">
        <f t="shared" si="0"/>
        <v>41</v>
      </c>
      <c r="B42" s="2" t="s">
        <v>161</v>
      </c>
      <c r="C42" s="2" t="s">
        <v>162</v>
      </c>
      <c r="D42" s="9" t="s">
        <v>106</v>
      </c>
      <c r="E42" s="2" t="s">
        <v>85</v>
      </c>
    </row>
    <row r="43" spans="1:5" x14ac:dyDescent="0.3">
      <c r="A43" s="9">
        <f t="shared" si="0"/>
        <v>42</v>
      </c>
      <c r="B43" s="2" t="s">
        <v>161</v>
      </c>
      <c r="C43" s="2" t="s">
        <v>163</v>
      </c>
      <c r="D43" s="9" t="s">
        <v>106</v>
      </c>
      <c r="E43" s="2" t="s">
        <v>85</v>
      </c>
    </row>
    <row r="44" spans="1:5" x14ac:dyDescent="0.3">
      <c r="A44" s="9">
        <f t="shared" si="0"/>
        <v>43</v>
      </c>
      <c r="B44" s="2" t="s">
        <v>161</v>
      </c>
      <c r="C44" s="2" t="s">
        <v>164</v>
      </c>
      <c r="D44" s="9" t="s">
        <v>106</v>
      </c>
      <c r="E44" s="2" t="s">
        <v>85</v>
      </c>
    </row>
    <row r="45" spans="1:5" x14ac:dyDescent="0.3">
      <c r="A45" s="9">
        <f t="shared" si="0"/>
        <v>44</v>
      </c>
      <c r="B45" s="2" t="s">
        <v>161</v>
      </c>
      <c r="C45" s="2" t="s">
        <v>165</v>
      </c>
      <c r="D45" s="9" t="s">
        <v>106</v>
      </c>
      <c r="E45" s="2" t="s">
        <v>85</v>
      </c>
    </row>
    <row r="46" spans="1:5" x14ac:dyDescent="0.3">
      <c r="A46" s="9">
        <f t="shared" si="0"/>
        <v>45</v>
      </c>
      <c r="B46" s="2" t="s">
        <v>166</v>
      </c>
      <c r="C46" s="2" t="s">
        <v>167</v>
      </c>
      <c r="D46" s="9" t="s">
        <v>106</v>
      </c>
      <c r="E46" s="2" t="s">
        <v>85</v>
      </c>
    </row>
    <row r="47" spans="1:5" x14ac:dyDescent="0.3">
      <c r="A47" s="9">
        <f t="shared" si="0"/>
        <v>46</v>
      </c>
      <c r="B47" s="2" t="s">
        <v>166</v>
      </c>
      <c r="C47" s="2" t="s">
        <v>168</v>
      </c>
      <c r="D47" s="9" t="s">
        <v>106</v>
      </c>
      <c r="E47" s="2" t="s">
        <v>85</v>
      </c>
    </row>
    <row r="48" spans="1:5" x14ac:dyDescent="0.3">
      <c r="A48" s="9">
        <f t="shared" si="0"/>
        <v>47</v>
      </c>
      <c r="B48" s="2" t="s">
        <v>166</v>
      </c>
      <c r="C48" s="2" t="s">
        <v>169</v>
      </c>
      <c r="D48" s="9" t="s">
        <v>106</v>
      </c>
      <c r="E48" s="2" t="s">
        <v>85</v>
      </c>
    </row>
    <row r="49" spans="1:5" x14ac:dyDescent="0.3">
      <c r="A49" s="9">
        <f t="shared" si="0"/>
        <v>48</v>
      </c>
      <c r="B49" s="2" t="s">
        <v>170</v>
      </c>
      <c r="C49" s="2" t="s">
        <v>171</v>
      </c>
      <c r="D49" s="9" t="s">
        <v>106</v>
      </c>
      <c r="E49" s="2" t="s">
        <v>85</v>
      </c>
    </row>
    <row r="50" spans="1:5" x14ac:dyDescent="0.3">
      <c r="A50" s="9">
        <f t="shared" si="0"/>
        <v>49</v>
      </c>
      <c r="B50" s="2" t="s">
        <v>170</v>
      </c>
      <c r="C50" s="2" t="s">
        <v>172</v>
      </c>
      <c r="D50" s="9" t="s">
        <v>106</v>
      </c>
      <c r="E50" s="2" t="s">
        <v>85</v>
      </c>
    </row>
    <row r="51" spans="1:5" x14ac:dyDescent="0.3">
      <c r="A51" s="9">
        <f t="shared" si="0"/>
        <v>50</v>
      </c>
      <c r="B51" s="2" t="s">
        <v>170</v>
      </c>
      <c r="C51" s="2" t="s">
        <v>173</v>
      </c>
      <c r="D51" s="9" t="s">
        <v>106</v>
      </c>
      <c r="E51" s="2" t="s">
        <v>87</v>
      </c>
    </row>
    <row r="52" spans="1:5" x14ac:dyDescent="0.3">
      <c r="A52" s="9">
        <f t="shared" si="0"/>
        <v>51</v>
      </c>
      <c r="B52" s="2" t="s">
        <v>170</v>
      </c>
      <c r="C52" s="2" t="s">
        <v>174</v>
      </c>
      <c r="D52" s="9" t="s">
        <v>106</v>
      </c>
      <c r="E52" s="2" t="s">
        <v>85</v>
      </c>
    </row>
    <row r="53" spans="1:5" x14ac:dyDescent="0.3">
      <c r="A53" s="9">
        <f t="shared" si="0"/>
        <v>52</v>
      </c>
      <c r="B53" s="2" t="s">
        <v>175</v>
      </c>
      <c r="C53" s="2" t="s">
        <v>176</v>
      </c>
      <c r="D53" s="9" t="s">
        <v>106</v>
      </c>
      <c r="E53" s="2" t="s">
        <v>85</v>
      </c>
    </row>
    <row r="54" spans="1:5" x14ac:dyDescent="0.3">
      <c r="A54" s="9">
        <f t="shared" si="0"/>
        <v>53</v>
      </c>
      <c r="B54" s="2" t="s">
        <v>200</v>
      </c>
      <c r="C54" s="2" t="s">
        <v>177</v>
      </c>
      <c r="D54" s="9" t="s">
        <v>109</v>
      </c>
      <c r="E54" s="2" t="s">
        <v>87</v>
      </c>
    </row>
    <row r="55" spans="1:5" x14ac:dyDescent="0.3">
      <c r="A55" s="9">
        <f t="shared" si="0"/>
        <v>54</v>
      </c>
      <c r="B55" s="2" t="s">
        <v>197</v>
      </c>
      <c r="C55" s="2" t="s">
        <v>178</v>
      </c>
      <c r="D55" s="9" t="s">
        <v>109</v>
      </c>
      <c r="E55" s="2" t="s">
        <v>85</v>
      </c>
    </row>
    <row r="56" spans="1:5" x14ac:dyDescent="0.3">
      <c r="A56" s="9">
        <f t="shared" si="0"/>
        <v>55</v>
      </c>
      <c r="B56" s="2" t="s">
        <v>175</v>
      </c>
      <c r="C56" s="2" t="s">
        <v>179</v>
      </c>
      <c r="D56" s="9" t="s">
        <v>106</v>
      </c>
      <c r="E56" s="2" t="s">
        <v>85</v>
      </c>
    </row>
    <row r="57" spans="1:5" x14ac:dyDescent="0.3">
      <c r="A57" s="9">
        <f t="shared" si="0"/>
        <v>56</v>
      </c>
      <c r="B57" s="2" t="s">
        <v>175</v>
      </c>
      <c r="C57" s="2" t="s">
        <v>180</v>
      </c>
      <c r="D57" s="9" t="s">
        <v>106</v>
      </c>
      <c r="E57" s="2" t="s">
        <v>85</v>
      </c>
    </row>
    <row r="58" spans="1:5" x14ac:dyDescent="0.3">
      <c r="A58" s="9">
        <f t="shared" si="0"/>
        <v>57</v>
      </c>
      <c r="B58" s="2" t="s">
        <v>181</v>
      </c>
      <c r="C58" s="2" t="s">
        <v>182</v>
      </c>
      <c r="D58" s="9" t="s">
        <v>106</v>
      </c>
      <c r="E58" s="2" t="s">
        <v>85</v>
      </c>
    </row>
    <row r="59" spans="1:5" x14ac:dyDescent="0.3">
      <c r="A59" s="9">
        <f t="shared" si="0"/>
        <v>58</v>
      </c>
      <c r="B59" s="2" t="s">
        <v>181</v>
      </c>
      <c r="C59" s="2" t="s">
        <v>183</v>
      </c>
      <c r="D59" s="9" t="s">
        <v>106</v>
      </c>
      <c r="E59" s="2" t="s">
        <v>85</v>
      </c>
    </row>
    <row r="60" spans="1:5" x14ac:dyDescent="0.3">
      <c r="A60" s="9">
        <f t="shared" si="0"/>
        <v>59</v>
      </c>
      <c r="B60" s="2" t="s">
        <v>181</v>
      </c>
      <c r="C60" s="2" t="s">
        <v>184</v>
      </c>
      <c r="D60" s="9" t="s">
        <v>106</v>
      </c>
      <c r="E60" s="2" t="s">
        <v>85</v>
      </c>
    </row>
    <row r="61" spans="1:5" x14ac:dyDescent="0.3">
      <c r="A61" s="9">
        <f t="shared" si="0"/>
        <v>60</v>
      </c>
      <c r="B61" s="2" t="s">
        <v>181</v>
      </c>
      <c r="C61" s="2" t="s">
        <v>185</v>
      </c>
      <c r="D61" s="9" t="s">
        <v>106</v>
      </c>
      <c r="E61" s="2" t="s">
        <v>85</v>
      </c>
    </row>
    <row r="62" spans="1:5" x14ac:dyDescent="0.3">
      <c r="A62" s="9">
        <f t="shared" si="0"/>
        <v>61</v>
      </c>
      <c r="B62" s="2" t="s">
        <v>186</v>
      </c>
      <c r="C62" s="2" t="s">
        <v>187</v>
      </c>
      <c r="D62" s="9" t="s">
        <v>106</v>
      </c>
      <c r="E62" s="2" t="s">
        <v>85</v>
      </c>
    </row>
    <row r="63" spans="1:5" x14ac:dyDescent="0.3">
      <c r="A63" s="9">
        <f t="shared" si="0"/>
        <v>62</v>
      </c>
      <c r="B63" s="2" t="s">
        <v>186</v>
      </c>
      <c r="C63" s="2" t="s">
        <v>188</v>
      </c>
      <c r="D63" s="9" t="s">
        <v>106</v>
      </c>
      <c r="E63" s="2" t="s">
        <v>85</v>
      </c>
    </row>
    <row r="64" spans="1:5" x14ac:dyDescent="0.3">
      <c r="A64" s="9">
        <f t="shared" si="0"/>
        <v>63</v>
      </c>
      <c r="B64" s="2" t="s">
        <v>186</v>
      </c>
      <c r="C64" s="2" t="s">
        <v>189</v>
      </c>
      <c r="D64" s="9" t="s">
        <v>106</v>
      </c>
      <c r="E64" s="2" t="s">
        <v>85</v>
      </c>
    </row>
    <row r="65" spans="1:5" x14ac:dyDescent="0.3">
      <c r="A65" s="9">
        <f t="shared" si="0"/>
        <v>64</v>
      </c>
      <c r="B65" s="2" t="s">
        <v>186</v>
      </c>
      <c r="C65" s="2" t="s">
        <v>190</v>
      </c>
      <c r="D65" s="9" t="s">
        <v>106</v>
      </c>
      <c r="E65" s="2" t="s">
        <v>93</v>
      </c>
    </row>
    <row r="66" spans="1:5" x14ac:dyDescent="0.3">
      <c r="A66" s="9">
        <f t="shared" ref="A66:A129" si="1">IF(C66="","",ROW()-1)</f>
        <v>65</v>
      </c>
      <c r="B66" s="2" t="s">
        <v>186</v>
      </c>
      <c r="C66" s="2" t="s">
        <v>191</v>
      </c>
      <c r="D66" s="9" t="s">
        <v>106</v>
      </c>
      <c r="E66" s="2" t="s">
        <v>85</v>
      </c>
    </row>
    <row r="67" spans="1:5" x14ac:dyDescent="0.3">
      <c r="A67" s="9">
        <f t="shared" si="1"/>
        <v>66</v>
      </c>
      <c r="B67" s="2" t="s">
        <v>192</v>
      </c>
      <c r="C67" s="2" t="s">
        <v>193</v>
      </c>
      <c r="D67" s="9" t="s">
        <v>106</v>
      </c>
      <c r="E67" s="2" t="s">
        <v>85</v>
      </c>
    </row>
    <row r="68" spans="1:5" x14ac:dyDescent="0.3">
      <c r="A68" s="9">
        <f t="shared" si="1"/>
        <v>67</v>
      </c>
      <c r="B68" s="2" t="s">
        <v>192</v>
      </c>
      <c r="C68" s="2" t="s">
        <v>194</v>
      </c>
      <c r="D68" s="9" t="s">
        <v>106</v>
      </c>
      <c r="E68" s="2" t="s">
        <v>85</v>
      </c>
    </row>
    <row r="69" spans="1:5" x14ac:dyDescent="0.3">
      <c r="A69" s="9" t="str">
        <f t="shared" si="1"/>
        <v/>
      </c>
      <c r="B69" s="2"/>
      <c r="C69" s="2"/>
      <c r="D69" s="9"/>
      <c r="E69" s="2"/>
    </row>
    <row r="70" spans="1:5" x14ac:dyDescent="0.3">
      <c r="A70" s="9">
        <f t="shared" si="1"/>
        <v>69</v>
      </c>
      <c r="B70" s="2" t="s">
        <v>192</v>
      </c>
      <c r="C70" s="2" t="s">
        <v>196</v>
      </c>
      <c r="D70" s="9" t="s">
        <v>106</v>
      </c>
      <c r="E70" s="2" t="s">
        <v>85</v>
      </c>
    </row>
    <row r="71" spans="1:5" x14ac:dyDescent="0.3">
      <c r="A71" s="9">
        <f t="shared" si="1"/>
        <v>70</v>
      </c>
      <c r="B71" s="2" t="s">
        <v>197</v>
      </c>
      <c r="C71" s="2" t="s">
        <v>198</v>
      </c>
      <c r="D71" s="9" t="s">
        <v>109</v>
      </c>
      <c r="E71" s="2" t="s">
        <v>85</v>
      </c>
    </row>
    <row r="72" spans="1:5" x14ac:dyDescent="0.3">
      <c r="A72" s="9">
        <f t="shared" si="1"/>
        <v>71</v>
      </c>
      <c r="B72" s="2" t="s">
        <v>197</v>
      </c>
      <c r="C72" s="2" t="s">
        <v>199</v>
      </c>
      <c r="D72" s="9" t="s">
        <v>109</v>
      </c>
      <c r="E72" s="2" t="s">
        <v>85</v>
      </c>
    </row>
    <row r="73" spans="1:5" x14ac:dyDescent="0.3">
      <c r="A73" s="9">
        <f t="shared" si="1"/>
        <v>72</v>
      </c>
      <c r="B73" s="2" t="s">
        <v>200</v>
      </c>
      <c r="C73" s="12" t="s">
        <v>201</v>
      </c>
      <c r="D73" s="9" t="s">
        <v>109</v>
      </c>
      <c r="E73" s="2" t="s">
        <v>85</v>
      </c>
    </row>
    <row r="74" spans="1:5" x14ac:dyDescent="0.3">
      <c r="A74" s="9">
        <f t="shared" si="1"/>
        <v>73</v>
      </c>
      <c r="B74" s="2" t="s">
        <v>200</v>
      </c>
      <c r="C74" s="12" t="s">
        <v>202</v>
      </c>
      <c r="D74" s="9" t="s">
        <v>109</v>
      </c>
      <c r="E74" s="2" t="s">
        <v>85</v>
      </c>
    </row>
    <row r="75" spans="1:5" x14ac:dyDescent="0.3">
      <c r="A75" s="9">
        <f t="shared" si="1"/>
        <v>74</v>
      </c>
      <c r="B75" s="2" t="s">
        <v>200</v>
      </c>
      <c r="C75" s="12" t="s">
        <v>203</v>
      </c>
      <c r="D75" s="9" t="s">
        <v>109</v>
      </c>
      <c r="E75" s="2" t="s">
        <v>85</v>
      </c>
    </row>
    <row r="76" spans="1:5" x14ac:dyDescent="0.3">
      <c r="A76" s="9">
        <f t="shared" si="1"/>
        <v>75</v>
      </c>
      <c r="B76" s="2" t="s">
        <v>200</v>
      </c>
      <c r="C76" s="12" t="s">
        <v>204</v>
      </c>
      <c r="D76" s="9" t="s">
        <v>109</v>
      </c>
      <c r="E76" s="2" t="s">
        <v>93</v>
      </c>
    </row>
    <row r="77" spans="1:5" x14ac:dyDescent="0.3">
      <c r="A77" s="9">
        <f t="shared" si="1"/>
        <v>76</v>
      </c>
      <c r="B77" s="2" t="s">
        <v>205</v>
      </c>
      <c r="C77" s="12" t="s">
        <v>206</v>
      </c>
      <c r="D77" s="9" t="s">
        <v>109</v>
      </c>
      <c r="E77" s="2" t="s">
        <v>85</v>
      </c>
    </row>
    <row r="78" spans="1:5" x14ac:dyDescent="0.3">
      <c r="A78" s="9">
        <f t="shared" si="1"/>
        <v>77</v>
      </c>
      <c r="B78" s="2" t="s">
        <v>205</v>
      </c>
      <c r="C78" s="12" t="s">
        <v>207</v>
      </c>
      <c r="D78" s="9" t="s">
        <v>109</v>
      </c>
      <c r="E78" s="2" t="s">
        <v>85</v>
      </c>
    </row>
    <row r="79" spans="1:5" x14ac:dyDescent="0.3">
      <c r="A79" s="9">
        <f t="shared" si="1"/>
        <v>78</v>
      </c>
      <c r="B79" s="2" t="s">
        <v>208</v>
      </c>
      <c r="C79" s="2" t="s">
        <v>209</v>
      </c>
      <c r="D79" s="9" t="s">
        <v>106</v>
      </c>
      <c r="E79" s="2" t="s">
        <v>85</v>
      </c>
    </row>
    <row r="80" spans="1:5" x14ac:dyDescent="0.3">
      <c r="A80" s="9">
        <f t="shared" si="1"/>
        <v>79</v>
      </c>
      <c r="B80" s="2" t="s">
        <v>208</v>
      </c>
      <c r="C80" s="2" t="s">
        <v>210</v>
      </c>
      <c r="D80" s="9" t="s">
        <v>106</v>
      </c>
      <c r="E80" s="2" t="s">
        <v>85</v>
      </c>
    </row>
    <row r="81" spans="1:5" x14ac:dyDescent="0.3">
      <c r="A81" s="9">
        <f t="shared" si="1"/>
        <v>80</v>
      </c>
      <c r="B81" s="2" t="s">
        <v>208</v>
      </c>
      <c r="C81" s="2" t="s">
        <v>211</v>
      </c>
      <c r="D81" s="9" t="s">
        <v>106</v>
      </c>
      <c r="E81" s="2" t="s">
        <v>85</v>
      </c>
    </row>
    <row r="82" spans="1:5" x14ac:dyDescent="0.3">
      <c r="A82" s="9">
        <f t="shared" si="1"/>
        <v>81</v>
      </c>
      <c r="B82" s="2" t="s">
        <v>208</v>
      </c>
      <c r="C82" s="2" t="s">
        <v>212</v>
      </c>
      <c r="D82" s="9" t="s">
        <v>106</v>
      </c>
      <c r="E82" s="2" t="s">
        <v>85</v>
      </c>
    </row>
    <row r="83" spans="1:5" x14ac:dyDescent="0.3">
      <c r="A83" s="9" t="str">
        <f t="shared" si="1"/>
        <v/>
      </c>
      <c r="B83" s="2"/>
      <c r="C83" s="2"/>
      <c r="D83" s="9"/>
      <c r="E83" s="2"/>
    </row>
    <row r="84" spans="1:5" x14ac:dyDescent="0.3">
      <c r="A84" s="9">
        <f t="shared" si="1"/>
        <v>83</v>
      </c>
      <c r="B84" s="2" t="s">
        <v>213</v>
      </c>
      <c r="C84" s="2" t="s">
        <v>215</v>
      </c>
      <c r="D84" s="9" t="s">
        <v>106</v>
      </c>
      <c r="E84" s="2" t="s">
        <v>85</v>
      </c>
    </row>
    <row r="85" spans="1:5" x14ac:dyDescent="0.3">
      <c r="A85" s="9" t="str">
        <f t="shared" si="1"/>
        <v/>
      </c>
      <c r="B85" s="2"/>
      <c r="C85" s="2"/>
      <c r="D85" s="9"/>
      <c r="E85" s="2"/>
    </row>
    <row r="86" spans="1:5" x14ac:dyDescent="0.3">
      <c r="A86" s="9">
        <f t="shared" si="1"/>
        <v>85</v>
      </c>
      <c r="B86" s="2" t="s">
        <v>118</v>
      </c>
      <c r="C86" s="2" t="s">
        <v>295</v>
      </c>
      <c r="D86" s="9" t="s">
        <v>106</v>
      </c>
      <c r="E86" s="2" t="s">
        <v>85</v>
      </c>
    </row>
    <row r="87" spans="1:5" x14ac:dyDescent="0.3">
      <c r="A87">
        <f t="shared" si="1"/>
        <v>86</v>
      </c>
      <c r="B87" t="s">
        <v>121</v>
      </c>
      <c r="C87" t="s">
        <v>296</v>
      </c>
      <c r="D87" t="s">
        <v>106</v>
      </c>
      <c r="E87" t="s">
        <v>85</v>
      </c>
    </row>
    <row r="88" spans="1:5" x14ac:dyDescent="0.3">
      <c r="A88">
        <f t="shared" si="1"/>
        <v>87</v>
      </c>
      <c r="B88" t="s">
        <v>121</v>
      </c>
      <c r="C88" t="s">
        <v>297</v>
      </c>
      <c r="D88" t="s">
        <v>106</v>
      </c>
      <c r="E88" t="s">
        <v>85</v>
      </c>
    </row>
    <row r="89" spans="1:5" x14ac:dyDescent="0.3">
      <c r="A89">
        <f t="shared" si="1"/>
        <v>88</v>
      </c>
      <c r="B89" t="s">
        <v>156</v>
      </c>
      <c r="C89" t="s">
        <v>298</v>
      </c>
      <c r="D89" t="s">
        <v>106</v>
      </c>
      <c r="E89" t="s">
        <v>85</v>
      </c>
    </row>
    <row r="90" spans="1:5" x14ac:dyDescent="0.3">
      <c r="A90">
        <f t="shared" si="1"/>
        <v>89</v>
      </c>
      <c r="B90" t="s">
        <v>156</v>
      </c>
      <c r="C90" t="s">
        <v>299</v>
      </c>
      <c r="D90" t="s">
        <v>106</v>
      </c>
      <c r="E90" t="s">
        <v>85</v>
      </c>
    </row>
    <row r="91" spans="1:5" x14ac:dyDescent="0.3">
      <c r="A91">
        <f t="shared" si="1"/>
        <v>90</v>
      </c>
      <c r="B91" t="s">
        <v>161</v>
      </c>
      <c r="C91" t="s">
        <v>300</v>
      </c>
      <c r="D91" t="s">
        <v>106</v>
      </c>
      <c r="E91" t="s">
        <v>85</v>
      </c>
    </row>
    <row r="92" spans="1:5" x14ac:dyDescent="0.3">
      <c r="A92">
        <f t="shared" si="1"/>
        <v>91</v>
      </c>
      <c r="B92" t="s">
        <v>166</v>
      </c>
      <c r="C92" t="s">
        <v>301</v>
      </c>
      <c r="D92" t="s">
        <v>106</v>
      </c>
      <c r="E92" t="s">
        <v>85</v>
      </c>
    </row>
    <row r="93" spans="1:5" x14ac:dyDescent="0.3">
      <c r="A93">
        <f t="shared" si="1"/>
        <v>92</v>
      </c>
      <c r="B93" t="s">
        <v>170</v>
      </c>
      <c r="C93" t="s">
        <v>302</v>
      </c>
      <c r="D93" t="s">
        <v>106</v>
      </c>
      <c r="E93" t="s">
        <v>85</v>
      </c>
    </row>
    <row r="94" spans="1:5" x14ac:dyDescent="0.3">
      <c r="A94">
        <f t="shared" si="1"/>
        <v>93</v>
      </c>
      <c r="B94" t="s">
        <v>175</v>
      </c>
      <c r="C94" t="s">
        <v>303</v>
      </c>
      <c r="D94" t="s">
        <v>106</v>
      </c>
      <c r="E94" t="s">
        <v>85</v>
      </c>
    </row>
    <row r="95" spans="1:5" x14ac:dyDescent="0.3">
      <c r="A95">
        <f t="shared" si="1"/>
        <v>94</v>
      </c>
      <c r="B95" t="s">
        <v>186</v>
      </c>
      <c r="C95" t="s">
        <v>304</v>
      </c>
      <c r="D95" t="s">
        <v>106</v>
      </c>
      <c r="E95" t="s">
        <v>85</v>
      </c>
    </row>
    <row r="96" spans="1:5" x14ac:dyDescent="0.3">
      <c r="A96">
        <f t="shared" si="1"/>
        <v>95</v>
      </c>
      <c r="B96" t="s">
        <v>197</v>
      </c>
      <c r="C96" t="s">
        <v>305</v>
      </c>
      <c r="D96" t="s">
        <v>109</v>
      </c>
      <c r="E96" t="s">
        <v>85</v>
      </c>
    </row>
    <row r="97" spans="1:5" x14ac:dyDescent="0.3">
      <c r="A97">
        <f t="shared" si="1"/>
        <v>96</v>
      </c>
      <c r="B97" t="s">
        <v>200</v>
      </c>
      <c r="C97" t="s">
        <v>306</v>
      </c>
      <c r="D97" t="s">
        <v>109</v>
      </c>
      <c r="E97" t="s">
        <v>85</v>
      </c>
    </row>
    <row r="98" spans="1:5" x14ac:dyDescent="0.3">
      <c r="A98">
        <f t="shared" si="1"/>
        <v>97</v>
      </c>
      <c r="B98" t="s">
        <v>213</v>
      </c>
      <c r="C98" t="s">
        <v>309</v>
      </c>
      <c r="D98" t="s">
        <v>106</v>
      </c>
      <c r="E98" t="s">
        <v>85</v>
      </c>
    </row>
    <row r="99" spans="1:5" x14ac:dyDescent="0.3">
      <c r="A99" t="str">
        <f t="shared" si="1"/>
        <v/>
      </c>
    </row>
    <row r="100" spans="1:5" x14ac:dyDescent="0.3">
      <c r="A100" t="str">
        <f t="shared" si="1"/>
        <v/>
      </c>
    </row>
    <row r="101" spans="1:5" x14ac:dyDescent="0.3">
      <c r="A101" t="str">
        <f t="shared" si="1"/>
        <v/>
      </c>
    </row>
    <row r="102" spans="1:5" x14ac:dyDescent="0.3">
      <c r="A102" t="str">
        <f t="shared" si="1"/>
        <v/>
      </c>
    </row>
    <row r="103" spans="1:5" x14ac:dyDescent="0.3">
      <c r="A103" t="str">
        <f t="shared" si="1"/>
        <v/>
      </c>
    </row>
    <row r="104" spans="1:5" x14ac:dyDescent="0.3">
      <c r="A104" t="str">
        <f t="shared" si="1"/>
        <v/>
      </c>
    </row>
    <row r="105" spans="1:5" x14ac:dyDescent="0.3">
      <c r="A105" t="str">
        <f t="shared" si="1"/>
        <v/>
      </c>
    </row>
    <row r="106" spans="1:5" x14ac:dyDescent="0.3">
      <c r="A106" t="str">
        <f t="shared" si="1"/>
        <v/>
      </c>
    </row>
    <row r="107" spans="1:5" x14ac:dyDescent="0.3">
      <c r="A107" t="str">
        <f t="shared" si="1"/>
        <v/>
      </c>
    </row>
    <row r="108" spans="1:5" x14ac:dyDescent="0.3">
      <c r="A108" t="str">
        <f t="shared" si="1"/>
        <v/>
      </c>
    </row>
    <row r="109" spans="1:5" x14ac:dyDescent="0.3">
      <c r="A109" t="str">
        <f t="shared" si="1"/>
        <v/>
      </c>
    </row>
    <row r="110" spans="1:5" x14ac:dyDescent="0.3">
      <c r="A110" t="str">
        <f t="shared" si="1"/>
        <v/>
      </c>
    </row>
    <row r="111" spans="1:5" x14ac:dyDescent="0.3">
      <c r="A111" t="str">
        <f t="shared" si="1"/>
        <v/>
      </c>
    </row>
    <row r="112" spans="1:5" x14ac:dyDescent="0.3">
      <c r="A112" t="str">
        <f t="shared" si="1"/>
        <v/>
      </c>
    </row>
    <row r="113" spans="1:1" x14ac:dyDescent="0.3">
      <c r="A113" t="str">
        <f t="shared" si="1"/>
        <v/>
      </c>
    </row>
    <row r="114" spans="1:1" x14ac:dyDescent="0.3">
      <c r="A114" t="str">
        <f t="shared" si="1"/>
        <v/>
      </c>
    </row>
    <row r="115" spans="1:1" x14ac:dyDescent="0.3">
      <c r="A115" t="str">
        <f t="shared" si="1"/>
        <v/>
      </c>
    </row>
    <row r="116" spans="1:1" x14ac:dyDescent="0.3">
      <c r="A116" t="str">
        <f t="shared" si="1"/>
        <v/>
      </c>
    </row>
    <row r="117" spans="1:1" x14ac:dyDescent="0.3">
      <c r="A117" t="str">
        <f t="shared" si="1"/>
        <v/>
      </c>
    </row>
    <row r="118" spans="1:1" x14ac:dyDescent="0.3">
      <c r="A118" t="str">
        <f t="shared" si="1"/>
        <v/>
      </c>
    </row>
    <row r="119" spans="1:1" x14ac:dyDescent="0.3">
      <c r="A119" t="str">
        <f t="shared" si="1"/>
        <v/>
      </c>
    </row>
    <row r="120" spans="1:1" x14ac:dyDescent="0.3">
      <c r="A120" t="str">
        <f t="shared" si="1"/>
        <v/>
      </c>
    </row>
    <row r="121" spans="1:1" x14ac:dyDescent="0.3">
      <c r="A121" t="str">
        <f t="shared" si="1"/>
        <v/>
      </c>
    </row>
    <row r="122" spans="1:1" x14ac:dyDescent="0.3">
      <c r="A122" t="str">
        <f t="shared" si="1"/>
        <v/>
      </c>
    </row>
    <row r="123" spans="1:1" x14ac:dyDescent="0.3">
      <c r="A123" t="str">
        <f t="shared" si="1"/>
        <v/>
      </c>
    </row>
    <row r="124" spans="1:1" x14ac:dyDescent="0.3">
      <c r="A124" t="str">
        <f t="shared" si="1"/>
        <v/>
      </c>
    </row>
    <row r="125" spans="1:1" x14ac:dyDescent="0.3">
      <c r="A125" t="str">
        <f t="shared" si="1"/>
        <v/>
      </c>
    </row>
    <row r="126" spans="1:1" x14ac:dyDescent="0.3">
      <c r="A126" t="str">
        <f t="shared" si="1"/>
        <v/>
      </c>
    </row>
    <row r="127" spans="1:1" x14ac:dyDescent="0.3">
      <c r="A127" t="str">
        <f t="shared" si="1"/>
        <v/>
      </c>
    </row>
    <row r="128" spans="1:1" x14ac:dyDescent="0.3">
      <c r="A128" t="str">
        <f t="shared" si="1"/>
        <v/>
      </c>
    </row>
    <row r="129" spans="1:1" x14ac:dyDescent="0.3">
      <c r="A129" t="str">
        <f t="shared" si="1"/>
        <v/>
      </c>
    </row>
    <row r="130" spans="1:1" x14ac:dyDescent="0.3">
      <c r="A130" t="str">
        <f t="shared" ref="A130:A193" si="2">IF(C130="","",ROW()-1)</f>
        <v/>
      </c>
    </row>
    <row r="131" spans="1:1" x14ac:dyDescent="0.3">
      <c r="A131" t="str">
        <f t="shared" si="2"/>
        <v/>
      </c>
    </row>
    <row r="132" spans="1:1" x14ac:dyDescent="0.3">
      <c r="A132" t="str">
        <f t="shared" si="2"/>
        <v/>
      </c>
    </row>
    <row r="133" spans="1:1" x14ac:dyDescent="0.3">
      <c r="A133" t="str">
        <f t="shared" si="2"/>
        <v/>
      </c>
    </row>
    <row r="134" spans="1:1" x14ac:dyDescent="0.3">
      <c r="A134" t="str">
        <f t="shared" si="2"/>
        <v/>
      </c>
    </row>
    <row r="135" spans="1:1" x14ac:dyDescent="0.3">
      <c r="A135" t="str">
        <f t="shared" si="2"/>
        <v/>
      </c>
    </row>
    <row r="136" spans="1:1" x14ac:dyDescent="0.3">
      <c r="A136" t="str">
        <f t="shared" si="2"/>
        <v/>
      </c>
    </row>
    <row r="137" spans="1:1" x14ac:dyDescent="0.3">
      <c r="A137" t="str">
        <f t="shared" si="2"/>
        <v/>
      </c>
    </row>
    <row r="138" spans="1:1" x14ac:dyDescent="0.3">
      <c r="A138" t="str">
        <f t="shared" si="2"/>
        <v/>
      </c>
    </row>
    <row r="139" spans="1:1" x14ac:dyDescent="0.3">
      <c r="A139" t="str">
        <f t="shared" si="2"/>
        <v/>
      </c>
    </row>
    <row r="140" spans="1:1" x14ac:dyDescent="0.3">
      <c r="A140" t="str">
        <f t="shared" si="2"/>
        <v/>
      </c>
    </row>
    <row r="141" spans="1:1" x14ac:dyDescent="0.3">
      <c r="A141" t="str">
        <f t="shared" si="2"/>
        <v/>
      </c>
    </row>
    <row r="142" spans="1:1" x14ac:dyDescent="0.3">
      <c r="A142" t="str">
        <f t="shared" si="2"/>
        <v/>
      </c>
    </row>
    <row r="143" spans="1:1" x14ac:dyDescent="0.3">
      <c r="A143" t="str">
        <f t="shared" si="2"/>
        <v/>
      </c>
    </row>
    <row r="144" spans="1:1" x14ac:dyDescent="0.3">
      <c r="A144" t="str">
        <f t="shared" si="2"/>
        <v/>
      </c>
    </row>
    <row r="145" spans="1:1" x14ac:dyDescent="0.3">
      <c r="A145" t="str">
        <f t="shared" si="2"/>
        <v/>
      </c>
    </row>
    <row r="146" spans="1:1" x14ac:dyDescent="0.3">
      <c r="A146" t="str">
        <f t="shared" si="2"/>
        <v/>
      </c>
    </row>
    <row r="147" spans="1:1" x14ac:dyDescent="0.3">
      <c r="A147" t="str">
        <f t="shared" si="2"/>
        <v/>
      </c>
    </row>
    <row r="148" spans="1:1" x14ac:dyDescent="0.3">
      <c r="A148" t="str">
        <f t="shared" si="2"/>
        <v/>
      </c>
    </row>
    <row r="149" spans="1:1" x14ac:dyDescent="0.3">
      <c r="A149" t="str">
        <f t="shared" si="2"/>
        <v/>
      </c>
    </row>
    <row r="150" spans="1:1" x14ac:dyDescent="0.3">
      <c r="A150" t="str">
        <f t="shared" si="2"/>
        <v/>
      </c>
    </row>
    <row r="151" spans="1:1" x14ac:dyDescent="0.3">
      <c r="A151" t="str">
        <f t="shared" si="2"/>
        <v/>
      </c>
    </row>
    <row r="152" spans="1:1" x14ac:dyDescent="0.3">
      <c r="A152" t="str">
        <f t="shared" si="2"/>
        <v/>
      </c>
    </row>
    <row r="153" spans="1:1" x14ac:dyDescent="0.3">
      <c r="A153" t="str">
        <f t="shared" si="2"/>
        <v/>
      </c>
    </row>
    <row r="154" spans="1:1" x14ac:dyDescent="0.3">
      <c r="A154" t="str">
        <f t="shared" si="2"/>
        <v/>
      </c>
    </row>
    <row r="155" spans="1:1" x14ac:dyDescent="0.3">
      <c r="A155" t="str">
        <f t="shared" si="2"/>
        <v/>
      </c>
    </row>
    <row r="156" spans="1:1" x14ac:dyDescent="0.3">
      <c r="A156" t="str">
        <f t="shared" si="2"/>
        <v/>
      </c>
    </row>
    <row r="157" spans="1:1" x14ac:dyDescent="0.3">
      <c r="A157" t="str">
        <f t="shared" si="2"/>
        <v/>
      </c>
    </row>
    <row r="158" spans="1:1" x14ac:dyDescent="0.3">
      <c r="A158" t="str">
        <f t="shared" si="2"/>
        <v/>
      </c>
    </row>
    <row r="159" spans="1:1" x14ac:dyDescent="0.3">
      <c r="A159" t="str">
        <f t="shared" si="2"/>
        <v/>
      </c>
    </row>
    <row r="160" spans="1:1" x14ac:dyDescent="0.3">
      <c r="A160" t="str">
        <f t="shared" si="2"/>
        <v/>
      </c>
    </row>
    <row r="161" spans="1:1" x14ac:dyDescent="0.3">
      <c r="A161" t="str">
        <f t="shared" si="2"/>
        <v/>
      </c>
    </row>
    <row r="162" spans="1:1" x14ac:dyDescent="0.3">
      <c r="A162" t="str">
        <f t="shared" si="2"/>
        <v/>
      </c>
    </row>
    <row r="163" spans="1:1" x14ac:dyDescent="0.3">
      <c r="A163" t="str">
        <f t="shared" si="2"/>
        <v/>
      </c>
    </row>
    <row r="164" spans="1:1" x14ac:dyDescent="0.3">
      <c r="A164" t="str">
        <f t="shared" si="2"/>
        <v/>
      </c>
    </row>
    <row r="165" spans="1:1" x14ac:dyDescent="0.3">
      <c r="A165" t="str">
        <f t="shared" si="2"/>
        <v/>
      </c>
    </row>
    <row r="166" spans="1:1" x14ac:dyDescent="0.3">
      <c r="A166" t="str">
        <f t="shared" si="2"/>
        <v/>
      </c>
    </row>
    <row r="167" spans="1:1" x14ac:dyDescent="0.3">
      <c r="A167" t="str">
        <f t="shared" si="2"/>
        <v/>
      </c>
    </row>
    <row r="168" spans="1:1" x14ac:dyDescent="0.3">
      <c r="A168" t="str">
        <f t="shared" si="2"/>
        <v/>
      </c>
    </row>
    <row r="169" spans="1:1" x14ac:dyDescent="0.3">
      <c r="A169" t="str">
        <f t="shared" si="2"/>
        <v/>
      </c>
    </row>
    <row r="170" spans="1:1" x14ac:dyDescent="0.3">
      <c r="A170" t="str">
        <f t="shared" si="2"/>
        <v/>
      </c>
    </row>
    <row r="171" spans="1:1" x14ac:dyDescent="0.3">
      <c r="A171" t="str">
        <f t="shared" si="2"/>
        <v/>
      </c>
    </row>
    <row r="172" spans="1:1" x14ac:dyDescent="0.3">
      <c r="A172" t="str">
        <f t="shared" si="2"/>
        <v/>
      </c>
    </row>
    <row r="173" spans="1:1" x14ac:dyDescent="0.3">
      <c r="A173" t="str">
        <f t="shared" si="2"/>
        <v/>
      </c>
    </row>
    <row r="174" spans="1:1" x14ac:dyDescent="0.3">
      <c r="A174" t="str">
        <f t="shared" si="2"/>
        <v/>
      </c>
    </row>
    <row r="175" spans="1:1" x14ac:dyDescent="0.3">
      <c r="A175" t="str">
        <f t="shared" si="2"/>
        <v/>
      </c>
    </row>
    <row r="176" spans="1:1" x14ac:dyDescent="0.3">
      <c r="A176" t="str">
        <f t="shared" si="2"/>
        <v/>
      </c>
    </row>
    <row r="177" spans="1:1" x14ac:dyDescent="0.3">
      <c r="A177" t="str">
        <f t="shared" si="2"/>
        <v/>
      </c>
    </row>
    <row r="178" spans="1:1" x14ac:dyDescent="0.3">
      <c r="A178" t="str">
        <f t="shared" si="2"/>
        <v/>
      </c>
    </row>
    <row r="179" spans="1:1" x14ac:dyDescent="0.3">
      <c r="A179" t="str">
        <f t="shared" si="2"/>
        <v/>
      </c>
    </row>
    <row r="180" spans="1:1" x14ac:dyDescent="0.3">
      <c r="A180" t="str">
        <f t="shared" si="2"/>
        <v/>
      </c>
    </row>
    <row r="181" spans="1:1" x14ac:dyDescent="0.3">
      <c r="A181" t="str">
        <f t="shared" si="2"/>
        <v/>
      </c>
    </row>
    <row r="182" spans="1:1" x14ac:dyDescent="0.3">
      <c r="A182" t="str">
        <f t="shared" si="2"/>
        <v/>
      </c>
    </row>
    <row r="183" spans="1:1" x14ac:dyDescent="0.3">
      <c r="A183" t="str">
        <f t="shared" si="2"/>
        <v/>
      </c>
    </row>
    <row r="184" spans="1:1" x14ac:dyDescent="0.3">
      <c r="A184" t="str">
        <f t="shared" si="2"/>
        <v/>
      </c>
    </row>
    <row r="185" spans="1:1" x14ac:dyDescent="0.3">
      <c r="A185" t="str">
        <f t="shared" si="2"/>
        <v/>
      </c>
    </row>
    <row r="186" spans="1:1" x14ac:dyDescent="0.3">
      <c r="A186" t="str">
        <f t="shared" si="2"/>
        <v/>
      </c>
    </row>
    <row r="187" spans="1:1" x14ac:dyDescent="0.3">
      <c r="A187" t="str">
        <f t="shared" si="2"/>
        <v/>
      </c>
    </row>
    <row r="188" spans="1:1" x14ac:dyDescent="0.3">
      <c r="A188" t="str">
        <f t="shared" si="2"/>
        <v/>
      </c>
    </row>
    <row r="189" spans="1:1" x14ac:dyDescent="0.3">
      <c r="A189" t="str">
        <f t="shared" si="2"/>
        <v/>
      </c>
    </row>
    <row r="190" spans="1:1" x14ac:dyDescent="0.3">
      <c r="A190" t="str">
        <f t="shared" si="2"/>
        <v/>
      </c>
    </row>
    <row r="191" spans="1:1" x14ac:dyDescent="0.3">
      <c r="A191" t="str">
        <f t="shared" si="2"/>
        <v/>
      </c>
    </row>
    <row r="192" spans="1:1" x14ac:dyDescent="0.3">
      <c r="A192" t="str">
        <f t="shared" si="2"/>
        <v/>
      </c>
    </row>
    <row r="193" spans="1:1" x14ac:dyDescent="0.3">
      <c r="A193" t="str">
        <f t="shared" si="2"/>
        <v/>
      </c>
    </row>
    <row r="194" spans="1:1" x14ac:dyDescent="0.3">
      <c r="A194" t="str">
        <f t="shared" ref="A194:A257" si="3">IF(C194="","",ROW()-1)</f>
        <v/>
      </c>
    </row>
    <row r="195" spans="1:1" x14ac:dyDescent="0.3">
      <c r="A195" t="str">
        <f t="shared" si="3"/>
        <v/>
      </c>
    </row>
    <row r="196" spans="1:1" x14ac:dyDescent="0.3">
      <c r="A196" t="str">
        <f t="shared" si="3"/>
        <v/>
      </c>
    </row>
    <row r="197" spans="1:1" x14ac:dyDescent="0.3">
      <c r="A197" t="str">
        <f t="shared" si="3"/>
        <v/>
      </c>
    </row>
    <row r="198" spans="1:1" x14ac:dyDescent="0.3">
      <c r="A198" t="str">
        <f t="shared" si="3"/>
        <v/>
      </c>
    </row>
    <row r="199" spans="1:1" x14ac:dyDescent="0.3">
      <c r="A199" t="str">
        <f t="shared" si="3"/>
        <v/>
      </c>
    </row>
    <row r="200" spans="1:1" x14ac:dyDescent="0.3">
      <c r="A200" t="str">
        <f t="shared" si="3"/>
        <v/>
      </c>
    </row>
    <row r="201" spans="1:1" x14ac:dyDescent="0.3">
      <c r="A201" t="str">
        <f t="shared" si="3"/>
        <v/>
      </c>
    </row>
    <row r="202" spans="1:1" x14ac:dyDescent="0.3">
      <c r="A202" t="str">
        <f t="shared" si="3"/>
        <v/>
      </c>
    </row>
    <row r="203" spans="1:1" x14ac:dyDescent="0.3">
      <c r="A203" t="str">
        <f t="shared" si="3"/>
        <v/>
      </c>
    </row>
    <row r="204" spans="1:1" x14ac:dyDescent="0.3">
      <c r="A204" t="str">
        <f t="shared" si="3"/>
        <v/>
      </c>
    </row>
    <row r="205" spans="1:1" x14ac:dyDescent="0.3">
      <c r="A205" t="str">
        <f t="shared" si="3"/>
        <v/>
      </c>
    </row>
    <row r="206" spans="1:1" x14ac:dyDescent="0.3">
      <c r="A206" t="str">
        <f t="shared" si="3"/>
        <v/>
      </c>
    </row>
    <row r="207" spans="1:1" x14ac:dyDescent="0.3">
      <c r="A207" t="str">
        <f t="shared" si="3"/>
        <v/>
      </c>
    </row>
    <row r="208" spans="1:1" x14ac:dyDescent="0.3">
      <c r="A208" t="str">
        <f t="shared" si="3"/>
        <v/>
      </c>
    </row>
    <row r="209" spans="1:1" x14ac:dyDescent="0.3">
      <c r="A209" t="str">
        <f t="shared" si="3"/>
        <v/>
      </c>
    </row>
    <row r="210" spans="1:1" x14ac:dyDescent="0.3">
      <c r="A210" t="str">
        <f t="shared" si="3"/>
        <v/>
      </c>
    </row>
    <row r="211" spans="1:1" x14ac:dyDescent="0.3">
      <c r="A211" t="str">
        <f t="shared" si="3"/>
        <v/>
      </c>
    </row>
    <row r="212" spans="1:1" x14ac:dyDescent="0.3">
      <c r="A212" t="str">
        <f t="shared" si="3"/>
        <v/>
      </c>
    </row>
    <row r="213" spans="1:1" x14ac:dyDescent="0.3">
      <c r="A213" t="str">
        <f t="shared" si="3"/>
        <v/>
      </c>
    </row>
    <row r="214" spans="1:1" x14ac:dyDescent="0.3">
      <c r="A214" t="str">
        <f t="shared" si="3"/>
        <v/>
      </c>
    </row>
    <row r="215" spans="1:1" x14ac:dyDescent="0.3">
      <c r="A215" t="str">
        <f t="shared" si="3"/>
        <v/>
      </c>
    </row>
    <row r="216" spans="1:1" x14ac:dyDescent="0.3">
      <c r="A216" t="str">
        <f t="shared" si="3"/>
        <v/>
      </c>
    </row>
    <row r="217" spans="1:1" x14ac:dyDescent="0.3">
      <c r="A217" t="str">
        <f t="shared" si="3"/>
        <v/>
      </c>
    </row>
    <row r="218" spans="1:1" x14ac:dyDescent="0.3">
      <c r="A218" t="str">
        <f t="shared" si="3"/>
        <v/>
      </c>
    </row>
    <row r="219" spans="1:1" x14ac:dyDescent="0.3">
      <c r="A219" t="str">
        <f t="shared" si="3"/>
        <v/>
      </c>
    </row>
    <row r="220" spans="1:1" x14ac:dyDescent="0.3">
      <c r="A220" t="str">
        <f t="shared" si="3"/>
        <v/>
      </c>
    </row>
    <row r="221" spans="1:1" x14ac:dyDescent="0.3">
      <c r="A221" t="str">
        <f t="shared" si="3"/>
        <v/>
      </c>
    </row>
    <row r="222" spans="1:1" x14ac:dyDescent="0.3">
      <c r="A222" t="str">
        <f t="shared" si="3"/>
        <v/>
      </c>
    </row>
    <row r="223" spans="1:1" x14ac:dyDescent="0.3">
      <c r="A223" t="str">
        <f t="shared" si="3"/>
        <v/>
      </c>
    </row>
    <row r="224" spans="1:1" x14ac:dyDescent="0.3">
      <c r="A224" t="str">
        <f t="shared" si="3"/>
        <v/>
      </c>
    </row>
    <row r="225" spans="1:1" x14ac:dyDescent="0.3">
      <c r="A225" t="str">
        <f t="shared" si="3"/>
        <v/>
      </c>
    </row>
    <row r="226" spans="1:1" x14ac:dyDescent="0.3">
      <c r="A226" t="str">
        <f t="shared" si="3"/>
        <v/>
      </c>
    </row>
    <row r="227" spans="1:1" x14ac:dyDescent="0.3">
      <c r="A227" t="str">
        <f t="shared" si="3"/>
        <v/>
      </c>
    </row>
    <row r="228" spans="1:1" x14ac:dyDescent="0.3">
      <c r="A228" t="str">
        <f t="shared" si="3"/>
        <v/>
      </c>
    </row>
    <row r="229" spans="1:1" x14ac:dyDescent="0.3">
      <c r="A229" t="str">
        <f t="shared" si="3"/>
        <v/>
      </c>
    </row>
    <row r="230" spans="1:1" x14ac:dyDescent="0.3">
      <c r="A230" t="str">
        <f t="shared" si="3"/>
        <v/>
      </c>
    </row>
    <row r="231" spans="1:1" x14ac:dyDescent="0.3">
      <c r="A231" t="str">
        <f t="shared" si="3"/>
        <v/>
      </c>
    </row>
    <row r="232" spans="1:1" x14ac:dyDescent="0.3">
      <c r="A232" t="str">
        <f t="shared" si="3"/>
        <v/>
      </c>
    </row>
    <row r="233" spans="1:1" x14ac:dyDescent="0.3">
      <c r="A233" t="str">
        <f t="shared" si="3"/>
        <v/>
      </c>
    </row>
    <row r="234" spans="1:1" x14ac:dyDescent="0.3">
      <c r="A234" t="str">
        <f t="shared" si="3"/>
        <v/>
      </c>
    </row>
    <row r="235" spans="1:1" x14ac:dyDescent="0.3">
      <c r="A235" t="str">
        <f t="shared" si="3"/>
        <v/>
      </c>
    </row>
    <row r="236" spans="1:1" x14ac:dyDescent="0.3">
      <c r="A236" t="str">
        <f t="shared" si="3"/>
        <v/>
      </c>
    </row>
    <row r="237" spans="1:1" x14ac:dyDescent="0.3">
      <c r="A237" t="str">
        <f t="shared" si="3"/>
        <v/>
      </c>
    </row>
    <row r="238" spans="1:1" x14ac:dyDescent="0.3">
      <c r="A238" t="str">
        <f t="shared" si="3"/>
        <v/>
      </c>
    </row>
    <row r="239" spans="1:1" x14ac:dyDescent="0.3">
      <c r="A239" t="str">
        <f t="shared" si="3"/>
        <v/>
      </c>
    </row>
    <row r="240" spans="1:1" x14ac:dyDescent="0.3">
      <c r="A240" t="str">
        <f t="shared" si="3"/>
        <v/>
      </c>
    </row>
    <row r="241" spans="1:1" x14ac:dyDescent="0.3">
      <c r="A241" t="str">
        <f t="shared" si="3"/>
        <v/>
      </c>
    </row>
    <row r="242" spans="1:1" x14ac:dyDescent="0.3">
      <c r="A242" t="str">
        <f t="shared" si="3"/>
        <v/>
      </c>
    </row>
    <row r="243" spans="1:1" x14ac:dyDescent="0.3">
      <c r="A243" t="str">
        <f t="shared" si="3"/>
        <v/>
      </c>
    </row>
    <row r="244" spans="1:1" x14ac:dyDescent="0.3">
      <c r="A244" t="str">
        <f t="shared" si="3"/>
        <v/>
      </c>
    </row>
    <row r="245" spans="1:1" x14ac:dyDescent="0.3">
      <c r="A245" t="str">
        <f t="shared" si="3"/>
        <v/>
      </c>
    </row>
    <row r="246" spans="1:1" x14ac:dyDescent="0.3">
      <c r="A246" t="str">
        <f t="shared" si="3"/>
        <v/>
      </c>
    </row>
    <row r="247" spans="1:1" x14ac:dyDescent="0.3">
      <c r="A247" t="str">
        <f t="shared" si="3"/>
        <v/>
      </c>
    </row>
    <row r="248" spans="1:1" x14ac:dyDescent="0.3">
      <c r="A248" t="str">
        <f t="shared" si="3"/>
        <v/>
      </c>
    </row>
    <row r="249" spans="1:1" x14ac:dyDescent="0.3">
      <c r="A249" t="str">
        <f t="shared" si="3"/>
        <v/>
      </c>
    </row>
    <row r="250" spans="1:1" x14ac:dyDescent="0.3">
      <c r="A250" t="str">
        <f t="shared" si="3"/>
        <v/>
      </c>
    </row>
    <row r="251" spans="1:1" x14ac:dyDescent="0.3">
      <c r="A251" t="str">
        <f t="shared" si="3"/>
        <v/>
      </c>
    </row>
    <row r="252" spans="1:1" x14ac:dyDescent="0.3">
      <c r="A252" t="str">
        <f t="shared" si="3"/>
        <v/>
      </c>
    </row>
    <row r="253" spans="1:1" x14ac:dyDescent="0.3">
      <c r="A253" t="str">
        <f t="shared" si="3"/>
        <v/>
      </c>
    </row>
    <row r="254" spans="1:1" x14ac:dyDescent="0.3">
      <c r="A254" t="str">
        <f t="shared" si="3"/>
        <v/>
      </c>
    </row>
    <row r="255" spans="1:1" x14ac:dyDescent="0.3">
      <c r="A255" t="str">
        <f t="shared" si="3"/>
        <v/>
      </c>
    </row>
    <row r="256" spans="1:1" x14ac:dyDescent="0.3">
      <c r="A256" t="str">
        <f t="shared" si="3"/>
        <v/>
      </c>
    </row>
    <row r="257" spans="1:1" x14ac:dyDescent="0.3">
      <c r="A257" t="str">
        <f t="shared" si="3"/>
        <v/>
      </c>
    </row>
    <row r="258" spans="1:1" x14ac:dyDescent="0.3">
      <c r="A258" t="str">
        <f t="shared" ref="A258:A321" si="4">IF(C258="","",ROW()-1)</f>
        <v/>
      </c>
    </row>
    <row r="259" spans="1:1" x14ac:dyDescent="0.3">
      <c r="A259" t="str">
        <f t="shared" si="4"/>
        <v/>
      </c>
    </row>
    <row r="260" spans="1:1" x14ac:dyDescent="0.3">
      <c r="A260" t="str">
        <f t="shared" si="4"/>
        <v/>
      </c>
    </row>
    <row r="261" spans="1:1" x14ac:dyDescent="0.3">
      <c r="A261" t="str">
        <f t="shared" si="4"/>
        <v/>
      </c>
    </row>
    <row r="262" spans="1:1" x14ac:dyDescent="0.3">
      <c r="A262" t="str">
        <f t="shared" si="4"/>
        <v/>
      </c>
    </row>
    <row r="263" spans="1:1" x14ac:dyDescent="0.3">
      <c r="A263" t="str">
        <f t="shared" si="4"/>
        <v/>
      </c>
    </row>
    <row r="264" spans="1:1" x14ac:dyDescent="0.3">
      <c r="A264" t="str">
        <f t="shared" si="4"/>
        <v/>
      </c>
    </row>
    <row r="265" spans="1:1" x14ac:dyDescent="0.3">
      <c r="A265" t="str">
        <f t="shared" si="4"/>
        <v/>
      </c>
    </row>
    <row r="266" spans="1:1" x14ac:dyDescent="0.3">
      <c r="A266" t="str">
        <f t="shared" si="4"/>
        <v/>
      </c>
    </row>
    <row r="267" spans="1:1" x14ac:dyDescent="0.3">
      <c r="A267" t="str">
        <f t="shared" si="4"/>
        <v/>
      </c>
    </row>
    <row r="268" spans="1:1" x14ac:dyDescent="0.3">
      <c r="A268" t="str">
        <f t="shared" si="4"/>
        <v/>
      </c>
    </row>
    <row r="269" spans="1:1" x14ac:dyDescent="0.3">
      <c r="A269" t="str">
        <f t="shared" si="4"/>
        <v/>
      </c>
    </row>
    <row r="270" spans="1:1" x14ac:dyDescent="0.3">
      <c r="A270" t="str">
        <f t="shared" si="4"/>
        <v/>
      </c>
    </row>
    <row r="271" spans="1:1" x14ac:dyDescent="0.3">
      <c r="A271" t="str">
        <f t="shared" si="4"/>
        <v/>
      </c>
    </row>
    <row r="272" spans="1:1" x14ac:dyDescent="0.3">
      <c r="A272" t="str">
        <f t="shared" si="4"/>
        <v/>
      </c>
    </row>
    <row r="273" spans="1:1" x14ac:dyDescent="0.3">
      <c r="A273" t="str">
        <f t="shared" si="4"/>
        <v/>
      </c>
    </row>
    <row r="274" spans="1:1" x14ac:dyDescent="0.3">
      <c r="A274" t="str">
        <f t="shared" si="4"/>
        <v/>
      </c>
    </row>
    <row r="275" spans="1:1" x14ac:dyDescent="0.3">
      <c r="A275" t="str">
        <f t="shared" si="4"/>
        <v/>
      </c>
    </row>
    <row r="276" spans="1:1" x14ac:dyDescent="0.3">
      <c r="A276" t="str">
        <f t="shared" si="4"/>
        <v/>
      </c>
    </row>
    <row r="277" spans="1:1" x14ac:dyDescent="0.3">
      <c r="A277" t="str">
        <f t="shared" si="4"/>
        <v/>
      </c>
    </row>
    <row r="278" spans="1:1" x14ac:dyDescent="0.3">
      <c r="A278" t="str">
        <f t="shared" si="4"/>
        <v/>
      </c>
    </row>
    <row r="279" spans="1:1" x14ac:dyDescent="0.3">
      <c r="A279" t="str">
        <f t="shared" si="4"/>
        <v/>
      </c>
    </row>
    <row r="280" spans="1:1" x14ac:dyDescent="0.3">
      <c r="A280" t="str">
        <f t="shared" si="4"/>
        <v/>
      </c>
    </row>
    <row r="281" spans="1:1" x14ac:dyDescent="0.3">
      <c r="A281" t="str">
        <f t="shared" si="4"/>
        <v/>
      </c>
    </row>
    <row r="282" spans="1:1" x14ac:dyDescent="0.3">
      <c r="A282" t="str">
        <f t="shared" si="4"/>
        <v/>
      </c>
    </row>
    <row r="283" spans="1:1" x14ac:dyDescent="0.3">
      <c r="A283" t="str">
        <f t="shared" si="4"/>
        <v/>
      </c>
    </row>
    <row r="284" spans="1:1" x14ac:dyDescent="0.3">
      <c r="A284" t="str">
        <f t="shared" si="4"/>
        <v/>
      </c>
    </row>
    <row r="285" spans="1:1" x14ac:dyDescent="0.3">
      <c r="A285" t="str">
        <f t="shared" si="4"/>
        <v/>
      </c>
    </row>
    <row r="286" spans="1:1" x14ac:dyDescent="0.3">
      <c r="A286" t="str">
        <f t="shared" si="4"/>
        <v/>
      </c>
    </row>
    <row r="287" spans="1:1" x14ac:dyDescent="0.3">
      <c r="A287" t="str">
        <f t="shared" si="4"/>
        <v/>
      </c>
    </row>
    <row r="288" spans="1:1" x14ac:dyDescent="0.3">
      <c r="A288" t="str">
        <f t="shared" si="4"/>
        <v/>
      </c>
    </row>
    <row r="289" spans="1:1" x14ac:dyDescent="0.3">
      <c r="A289" t="str">
        <f t="shared" si="4"/>
        <v/>
      </c>
    </row>
    <row r="290" spans="1:1" x14ac:dyDescent="0.3">
      <c r="A290" t="str">
        <f t="shared" si="4"/>
        <v/>
      </c>
    </row>
    <row r="291" spans="1:1" x14ac:dyDescent="0.3">
      <c r="A291" t="str">
        <f t="shared" si="4"/>
        <v/>
      </c>
    </row>
    <row r="292" spans="1:1" x14ac:dyDescent="0.3">
      <c r="A292" t="str">
        <f t="shared" si="4"/>
        <v/>
      </c>
    </row>
    <row r="293" spans="1:1" x14ac:dyDescent="0.3">
      <c r="A293" t="str">
        <f t="shared" si="4"/>
        <v/>
      </c>
    </row>
    <row r="294" spans="1:1" x14ac:dyDescent="0.3">
      <c r="A294" t="str">
        <f t="shared" si="4"/>
        <v/>
      </c>
    </row>
    <row r="295" spans="1:1" x14ac:dyDescent="0.3">
      <c r="A295" t="str">
        <f t="shared" si="4"/>
        <v/>
      </c>
    </row>
    <row r="296" spans="1:1" x14ac:dyDescent="0.3">
      <c r="A296" t="str">
        <f t="shared" si="4"/>
        <v/>
      </c>
    </row>
    <row r="297" spans="1:1" x14ac:dyDescent="0.3">
      <c r="A297" t="str">
        <f t="shared" si="4"/>
        <v/>
      </c>
    </row>
    <row r="298" spans="1:1" x14ac:dyDescent="0.3">
      <c r="A298" t="str">
        <f t="shared" si="4"/>
        <v/>
      </c>
    </row>
    <row r="299" spans="1:1" x14ac:dyDescent="0.3">
      <c r="A299" t="str">
        <f t="shared" si="4"/>
        <v/>
      </c>
    </row>
    <row r="300" spans="1:1" x14ac:dyDescent="0.3">
      <c r="A300" t="str">
        <f t="shared" si="4"/>
        <v/>
      </c>
    </row>
    <row r="301" spans="1:1" x14ac:dyDescent="0.3">
      <c r="A301" t="str">
        <f t="shared" si="4"/>
        <v/>
      </c>
    </row>
    <row r="302" spans="1:1" x14ac:dyDescent="0.3">
      <c r="A302" t="str">
        <f t="shared" si="4"/>
        <v/>
      </c>
    </row>
    <row r="303" spans="1:1" x14ac:dyDescent="0.3">
      <c r="A303" t="str">
        <f t="shared" si="4"/>
        <v/>
      </c>
    </row>
    <row r="304" spans="1:1" x14ac:dyDescent="0.3">
      <c r="A304" t="str">
        <f t="shared" si="4"/>
        <v/>
      </c>
    </row>
    <row r="305" spans="1:1" x14ac:dyDescent="0.3">
      <c r="A305" t="str">
        <f t="shared" si="4"/>
        <v/>
      </c>
    </row>
    <row r="306" spans="1:1" x14ac:dyDescent="0.3">
      <c r="A306" t="str">
        <f t="shared" si="4"/>
        <v/>
      </c>
    </row>
    <row r="307" spans="1:1" x14ac:dyDescent="0.3">
      <c r="A307" t="str">
        <f t="shared" si="4"/>
        <v/>
      </c>
    </row>
    <row r="308" spans="1:1" x14ac:dyDescent="0.3">
      <c r="A308" t="str">
        <f t="shared" si="4"/>
        <v/>
      </c>
    </row>
    <row r="309" spans="1:1" x14ac:dyDescent="0.3">
      <c r="A309" t="str">
        <f t="shared" si="4"/>
        <v/>
      </c>
    </row>
    <row r="310" spans="1:1" x14ac:dyDescent="0.3">
      <c r="A310" t="str">
        <f t="shared" si="4"/>
        <v/>
      </c>
    </row>
    <row r="311" spans="1:1" x14ac:dyDescent="0.3">
      <c r="A311" t="str">
        <f t="shared" si="4"/>
        <v/>
      </c>
    </row>
    <row r="312" spans="1:1" x14ac:dyDescent="0.3">
      <c r="A312" t="str">
        <f t="shared" si="4"/>
        <v/>
      </c>
    </row>
    <row r="313" spans="1:1" x14ac:dyDescent="0.3">
      <c r="A313" t="str">
        <f t="shared" si="4"/>
        <v/>
      </c>
    </row>
    <row r="314" spans="1:1" x14ac:dyDescent="0.3">
      <c r="A314" t="str">
        <f t="shared" si="4"/>
        <v/>
      </c>
    </row>
    <row r="315" spans="1:1" x14ac:dyDescent="0.3">
      <c r="A315" t="str">
        <f t="shared" si="4"/>
        <v/>
      </c>
    </row>
    <row r="316" spans="1:1" x14ac:dyDescent="0.3">
      <c r="A316" t="str">
        <f t="shared" si="4"/>
        <v/>
      </c>
    </row>
    <row r="317" spans="1:1" x14ac:dyDescent="0.3">
      <c r="A317" t="str">
        <f t="shared" si="4"/>
        <v/>
      </c>
    </row>
    <row r="318" spans="1:1" x14ac:dyDescent="0.3">
      <c r="A318" t="str">
        <f t="shared" si="4"/>
        <v/>
      </c>
    </row>
    <row r="319" spans="1:1" x14ac:dyDescent="0.3">
      <c r="A319" t="str">
        <f t="shared" si="4"/>
        <v/>
      </c>
    </row>
    <row r="320" spans="1:1" x14ac:dyDescent="0.3">
      <c r="A320" t="str">
        <f t="shared" si="4"/>
        <v/>
      </c>
    </row>
    <row r="321" spans="1:1" x14ac:dyDescent="0.3">
      <c r="A321" t="str">
        <f t="shared" si="4"/>
        <v/>
      </c>
    </row>
    <row r="322" spans="1:1" x14ac:dyDescent="0.3">
      <c r="A322" t="str">
        <f t="shared" ref="A322:A385" si="5">IF(C322="","",ROW()-1)</f>
        <v/>
      </c>
    </row>
    <row r="323" spans="1:1" x14ac:dyDescent="0.3">
      <c r="A323" t="str">
        <f t="shared" si="5"/>
        <v/>
      </c>
    </row>
    <row r="324" spans="1:1" x14ac:dyDescent="0.3">
      <c r="A324" t="str">
        <f t="shared" si="5"/>
        <v/>
      </c>
    </row>
    <row r="325" spans="1:1" x14ac:dyDescent="0.3">
      <c r="A325" t="str">
        <f t="shared" si="5"/>
        <v/>
      </c>
    </row>
    <row r="326" spans="1:1" x14ac:dyDescent="0.3">
      <c r="A326" t="str">
        <f t="shared" si="5"/>
        <v/>
      </c>
    </row>
    <row r="327" spans="1:1" x14ac:dyDescent="0.3">
      <c r="A327" t="str">
        <f t="shared" si="5"/>
        <v/>
      </c>
    </row>
    <row r="328" spans="1:1" x14ac:dyDescent="0.3">
      <c r="A328" t="str">
        <f t="shared" si="5"/>
        <v/>
      </c>
    </row>
    <row r="329" spans="1:1" x14ac:dyDescent="0.3">
      <c r="A329" t="str">
        <f t="shared" si="5"/>
        <v/>
      </c>
    </row>
    <row r="330" spans="1:1" x14ac:dyDescent="0.3">
      <c r="A330" t="str">
        <f t="shared" si="5"/>
        <v/>
      </c>
    </row>
    <row r="331" spans="1:1" x14ac:dyDescent="0.3">
      <c r="A331" t="str">
        <f t="shared" si="5"/>
        <v/>
      </c>
    </row>
    <row r="332" spans="1:1" x14ac:dyDescent="0.3">
      <c r="A332" t="str">
        <f t="shared" si="5"/>
        <v/>
      </c>
    </row>
    <row r="333" spans="1:1" x14ac:dyDescent="0.3">
      <c r="A333" t="str">
        <f t="shared" si="5"/>
        <v/>
      </c>
    </row>
    <row r="334" spans="1:1" x14ac:dyDescent="0.3">
      <c r="A334" t="str">
        <f t="shared" si="5"/>
        <v/>
      </c>
    </row>
    <row r="335" spans="1:1" x14ac:dyDescent="0.3">
      <c r="A335" t="str">
        <f t="shared" si="5"/>
        <v/>
      </c>
    </row>
    <row r="336" spans="1:1" x14ac:dyDescent="0.3">
      <c r="A336" t="str">
        <f t="shared" si="5"/>
        <v/>
      </c>
    </row>
    <row r="337" spans="1:1" x14ac:dyDescent="0.3">
      <c r="A337" t="str">
        <f t="shared" si="5"/>
        <v/>
      </c>
    </row>
    <row r="338" spans="1:1" x14ac:dyDescent="0.3">
      <c r="A338" t="str">
        <f t="shared" si="5"/>
        <v/>
      </c>
    </row>
    <row r="339" spans="1:1" x14ac:dyDescent="0.3">
      <c r="A339" t="str">
        <f t="shared" si="5"/>
        <v/>
      </c>
    </row>
    <row r="340" spans="1:1" x14ac:dyDescent="0.3">
      <c r="A340" t="str">
        <f t="shared" si="5"/>
        <v/>
      </c>
    </row>
    <row r="341" spans="1:1" x14ac:dyDescent="0.3">
      <c r="A341" t="str">
        <f t="shared" si="5"/>
        <v/>
      </c>
    </row>
    <row r="342" spans="1:1" x14ac:dyDescent="0.3">
      <c r="A342" t="str">
        <f t="shared" si="5"/>
        <v/>
      </c>
    </row>
    <row r="343" spans="1:1" x14ac:dyDescent="0.3">
      <c r="A343" t="str">
        <f t="shared" si="5"/>
        <v/>
      </c>
    </row>
    <row r="344" spans="1:1" x14ac:dyDescent="0.3">
      <c r="A344" t="str">
        <f t="shared" si="5"/>
        <v/>
      </c>
    </row>
    <row r="345" spans="1:1" x14ac:dyDescent="0.3">
      <c r="A345" t="str">
        <f t="shared" si="5"/>
        <v/>
      </c>
    </row>
    <row r="346" spans="1:1" x14ac:dyDescent="0.3">
      <c r="A346" t="str">
        <f t="shared" si="5"/>
        <v/>
      </c>
    </row>
    <row r="347" spans="1:1" x14ac:dyDescent="0.3">
      <c r="A347" t="str">
        <f t="shared" si="5"/>
        <v/>
      </c>
    </row>
    <row r="348" spans="1:1" x14ac:dyDescent="0.3">
      <c r="A348" t="str">
        <f t="shared" si="5"/>
        <v/>
      </c>
    </row>
    <row r="349" spans="1:1" x14ac:dyDescent="0.3">
      <c r="A349" t="str">
        <f t="shared" si="5"/>
        <v/>
      </c>
    </row>
    <row r="350" spans="1:1" x14ac:dyDescent="0.3">
      <c r="A350" t="str">
        <f t="shared" si="5"/>
        <v/>
      </c>
    </row>
    <row r="351" spans="1:1" x14ac:dyDescent="0.3">
      <c r="A351" t="str">
        <f t="shared" si="5"/>
        <v/>
      </c>
    </row>
    <row r="352" spans="1:1" x14ac:dyDescent="0.3">
      <c r="A352" t="str">
        <f t="shared" si="5"/>
        <v/>
      </c>
    </row>
    <row r="353" spans="1:1" x14ac:dyDescent="0.3">
      <c r="A353" t="str">
        <f t="shared" si="5"/>
        <v/>
      </c>
    </row>
    <row r="354" spans="1:1" x14ac:dyDescent="0.3">
      <c r="A354" t="str">
        <f t="shared" si="5"/>
        <v/>
      </c>
    </row>
    <row r="355" spans="1:1" x14ac:dyDescent="0.3">
      <c r="A355" t="str">
        <f t="shared" si="5"/>
        <v/>
      </c>
    </row>
    <row r="356" spans="1:1" x14ac:dyDescent="0.3">
      <c r="A356" t="str">
        <f t="shared" si="5"/>
        <v/>
      </c>
    </row>
    <row r="357" spans="1:1" x14ac:dyDescent="0.3">
      <c r="A357" t="str">
        <f t="shared" si="5"/>
        <v/>
      </c>
    </row>
    <row r="358" spans="1:1" x14ac:dyDescent="0.3">
      <c r="A358" t="str">
        <f t="shared" si="5"/>
        <v/>
      </c>
    </row>
    <row r="359" spans="1:1" x14ac:dyDescent="0.3">
      <c r="A359" t="str">
        <f t="shared" si="5"/>
        <v/>
      </c>
    </row>
    <row r="360" spans="1:1" x14ac:dyDescent="0.3">
      <c r="A360" t="str">
        <f t="shared" si="5"/>
        <v/>
      </c>
    </row>
    <row r="361" spans="1:1" x14ac:dyDescent="0.3">
      <c r="A361" t="str">
        <f t="shared" si="5"/>
        <v/>
      </c>
    </row>
    <row r="362" spans="1:1" x14ac:dyDescent="0.3">
      <c r="A362" t="str">
        <f t="shared" si="5"/>
        <v/>
      </c>
    </row>
    <row r="363" spans="1:1" x14ac:dyDescent="0.3">
      <c r="A363" t="str">
        <f t="shared" si="5"/>
        <v/>
      </c>
    </row>
    <row r="364" spans="1:1" x14ac:dyDescent="0.3">
      <c r="A364" t="str">
        <f t="shared" si="5"/>
        <v/>
      </c>
    </row>
    <row r="365" spans="1:1" x14ac:dyDescent="0.3">
      <c r="A365" t="str">
        <f t="shared" si="5"/>
        <v/>
      </c>
    </row>
    <row r="366" spans="1:1" x14ac:dyDescent="0.3">
      <c r="A366" t="str">
        <f t="shared" si="5"/>
        <v/>
      </c>
    </row>
    <row r="367" spans="1:1" x14ac:dyDescent="0.3">
      <c r="A367" t="str">
        <f t="shared" si="5"/>
        <v/>
      </c>
    </row>
    <row r="368" spans="1:1" x14ac:dyDescent="0.3">
      <c r="A368" t="str">
        <f t="shared" si="5"/>
        <v/>
      </c>
    </row>
    <row r="369" spans="1:1" x14ac:dyDescent="0.3">
      <c r="A369" t="str">
        <f t="shared" si="5"/>
        <v/>
      </c>
    </row>
    <row r="370" spans="1:1" x14ac:dyDescent="0.3">
      <c r="A370" t="str">
        <f t="shared" si="5"/>
        <v/>
      </c>
    </row>
    <row r="371" spans="1:1" x14ac:dyDescent="0.3">
      <c r="A371" t="str">
        <f t="shared" si="5"/>
        <v/>
      </c>
    </row>
    <row r="372" spans="1:1" x14ac:dyDescent="0.3">
      <c r="A372" t="str">
        <f t="shared" si="5"/>
        <v/>
      </c>
    </row>
    <row r="373" spans="1:1" x14ac:dyDescent="0.3">
      <c r="A373" t="str">
        <f t="shared" si="5"/>
        <v/>
      </c>
    </row>
    <row r="374" spans="1:1" x14ac:dyDescent="0.3">
      <c r="A374" t="str">
        <f t="shared" si="5"/>
        <v/>
      </c>
    </row>
    <row r="375" spans="1:1" x14ac:dyDescent="0.3">
      <c r="A375" t="str">
        <f t="shared" si="5"/>
        <v/>
      </c>
    </row>
    <row r="376" spans="1:1" x14ac:dyDescent="0.3">
      <c r="A376" t="str">
        <f t="shared" si="5"/>
        <v/>
      </c>
    </row>
    <row r="377" spans="1:1" x14ac:dyDescent="0.3">
      <c r="A377" t="str">
        <f t="shared" si="5"/>
        <v/>
      </c>
    </row>
    <row r="378" spans="1:1" x14ac:dyDescent="0.3">
      <c r="A378" t="str">
        <f t="shared" si="5"/>
        <v/>
      </c>
    </row>
    <row r="379" spans="1:1" x14ac:dyDescent="0.3">
      <c r="A379" t="str">
        <f t="shared" si="5"/>
        <v/>
      </c>
    </row>
    <row r="380" spans="1:1" x14ac:dyDescent="0.3">
      <c r="A380" t="str">
        <f t="shared" si="5"/>
        <v/>
      </c>
    </row>
    <row r="381" spans="1:1" x14ac:dyDescent="0.3">
      <c r="A381" t="str">
        <f t="shared" si="5"/>
        <v/>
      </c>
    </row>
    <row r="382" spans="1:1" x14ac:dyDescent="0.3">
      <c r="A382" t="str">
        <f t="shared" si="5"/>
        <v/>
      </c>
    </row>
    <row r="383" spans="1:1" x14ac:dyDescent="0.3">
      <c r="A383" t="str">
        <f t="shared" si="5"/>
        <v/>
      </c>
    </row>
    <row r="384" spans="1:1" x14ac:dyDescent="0.3">
      <c r="A384" t="str">
        <f t="shared" si="5"/>
        <v/>
      </c>
    </row>
    <row r="385" spans="1:1" x14ac:dyDescent="0.3">
      <c r="A385" t="str">
        <f t="shared" si="5"/>
        <v/>
      </c>
    </row>
    <row r="386" spans="1:1" x14ac:dyDescent="0.3">
      <c r="A386" t="str">
        <f t="shared" ref="A386:A449" si="6">IF(C386="","",ROW()-1)</f>
        <v/>
      </c>
    </row>
    <row r="387" spans="1:1" x14ac:dyDescent="0.3">
      <c r="A387" t="str">
        <f t="shared" si="6"/>
        <v/>
      </c>
    </row>
    <row r="388" spans="1:1" x14ac:dyDescent="0.3">
      <c r="A388" t="str">
        <f t="shared" si="6"/>
        <v/>
      </c>
    </row>
    <row r="389" spans="1:1" x14ac:dyDescent="0.3">
      <c r="A389" t="str">
        <f t="shared" si="6"/>
        <v/>
      </c>
    </row>
    <row r="390" spans="1:1" x14ac:dyDescent="0.3">
      <c r="A390" t="str">
        <f t="shared" si="6"/>
        <v/>
      </c>
    </row>
    <row r="391" spans="1:1" x14ac:dyDescent="0.3">
      <c r="A391" t="str">
        <f t="shared" si="6"/>
        <v/>
      </c>
    </row>
    <row r="392" spans="1:1" x14ac:dyDescent="0.3">
      <c r="A392" t="str">
        <f t="shared" si="6"/>
        <v/>
      </c>
    </row>
    <row r="393" spans="1:1" x14ac:dyDescent="0.3">
      <c r="A393" t="str">
        <f t="shared" si="6"/>
        <v/>
      </c>
    </row>
    <row r="394" spans="1:1" x14ac:dyDescent="0.3">
      <c r="A394" t="str">
        <f t="shared" si="6"/>
        <v/>
      </c>
    </row>
    <row r="395" spans="1:1" x14ac:dyDescent="0.3">
      <c r="A395" t="str">
        <f t="shared" si="6"/>
        <v/>
      </c>
    </row>
    <row r="396" spans="1:1" x14ac:dyDescent="0.3">
      <c r="A396" t="str">
        <f t="shared" si="6"/>
        <v/>
      </c>
    </row>
    <row r="397" spans="1:1" x14ac:dyDescent="0.3">
      <c r="A397" t="str">
        <f t="shared" si="6"/>
        <v/>
      </c>
    </row>
    <row r="398" spans="1:1" x14ac:dyDescent="0.3">
      <c r="A398" t="str">
        <f t="shared" si="6"/>
        <v/>
      </c>
    </row>
    <row r="399" spans="1:1" x14ac:dyDescent="0.3">
      <c r="A399" t="str">
        <f t="shared" si="6"/>
        <v/>
      </c>
    </row>
    <row r="400" spans="1:1" x14ac:dyDescent="0.3">
      <c r="A400" t="str">
        <f t="shared" si="6"/>
        <v/>
      </c>
    </row>
    <row r="401" spans="1:1" x14ac:dyDescent="0.3">
      <c r="A401" t="str">
        <f t="shared" si="6"/>
        <v/>
      </c>
    </row>
    <row r="402" spans="1:1" x14ac:dyDescent="0.3">
      <c r="A402" t="str">
        <f t="shared" si="6"/>
        <v/>
      </c>
    </row>
    <row r="403" spans="1:1" x14ac:dyDescent="0.3">
      <c r="A403" t="str">
        <f t="shared" si="6"/>
        <v/>
      </c>
    </row>
    <row r="404" spans="1:1" x14ac:dyDescent="0.3">
      <c r="A404" t="str">
        <f t="shared" si="6"/>
        <v/>
      </c>
    </row>
    <row r="405" spans="1:1" x14ac:dyDescent="0.3">
      <c r="A405" t="str">
        <f t="shared" si="6"/>
        <v/>
      </c>
    </row>
    <row r="406" spans="1:1" x14ac:dyDescent="0.3">
      <c r="A406" t="str">
        <f t="shared" si="6"/>
        <v/>
      </c>
    </row>
    <row r="407" spans="1:1" x14ac:dyDescent="0.3">
      <c r="A407" t="str">
        <f t="shared" si="6"/>
        <v/>
      </c>
    </row>
    <row r="408" spans="1:1" x14ac:dyDescent="0.3">
      <c r="A408" t="str">
        <f t="shared" si="6"/>
        <v/>
      </c>
    </row>
    <row r="409" spans="1:1" x14ac:dyDescent="0.3">
      <c r="A409" t="str">
        <f t="shared" si="6"/>
        <v/>
      </c>
    </row>
    <row r="410" spans="1:1" x14ac:dyDescent="0.3">
      <c r="A410" t="str">
        <f t="shared" si="6"/>
        <v/>
      </c>
    </row>
    <row r="411" spans="1:1" x14ac:dyDescent="0.3">
      <c r="A411" t="str">
        <f t="shared" si="6"/>
        <v/>
      </c>
    </row>
    <row r="412" spans="1:1" x14ac:dyDescent="0.3">
      <c r="A412" t="str">
        <f t="shared" si="6"/>
        <v/>
      </c>
    </row>
    <row r="413" spans="1:1" x14ac:dyDescent="0.3">
      <c r="A413" t="str">
        <f t="shared" si="6"/>
        <v/>
      </c>
    </row>
    <row r="414" spans="1:1" x14ac:dyDescent="0.3">
      <c r="A414" t="str">
        <f t="shared" si="6"/>
        <v/>
      </c>
    </row>
    <row r="415" spans="1:1" x14ac:dyDescent="0.3">
      <c r="A415" t="str">
        <f t="shared" si="6"/>
        <v/>
      </c>
    </row>
    <row r="416" spans="1:1" x14ac:dyDescent="0.3">
      <c r="A416" t="str">
        <f t="shared" si="6"/>
        <v/>
      </c>
    </row>
    <row r="417" spans="1:1" x14ac:dyDescent="0.3">
      <c r="A417" t="str">
        <f t="shared" si="6"/>
        <v/>
      </c>
    </row>
    <row r="418" spans="1:1" x14ac:dyDescent="0.3">
      <c r="A418" t="str">
        <f t="shared" si="6"/>
        <v/>
      </c>
    </row>
    <row r="419" spans="1:1" x14ac:dyDescent="0.3">
      <c r="A419" t="str">
        <f t="shared" si="6"/>
        <v/>
      </c>
    </row>
    <row r="420" spans="1:1" x14ac:dyDescent="0.3">
      <c r="A420" t="str">
        <f t="shared" si="6"/>
        <v/>
      </c>
    </row>
    <row r="421" spans="1:1" x14ac:dyDescent="0.3">
      <c r="A421" t="str">
        <f t="shared" si="6"/>
        <v/>
      </c>
    </row>
    <row r="422" spans="1:1" x14ac:dyDescent="0.3">
      <c r="A422" t="str">
        <f t="shared" si="6"/>
        <v/>
      </c>
    </row>
    <row r="423" spans="1:1" x14ac:dyDescent="0.3">
      <c r="A423" t="str">
        <f t="shared" si="6"/>
        <v/>
      </c>
    </row>
    <row r="424" spans="1:1" x14ac:dyDescent="0.3">
      <c r="A424" t="str">
        <f t="shared" si="6"/>
        <v/>
      </c>
    </row>
    <row r="425" spans="1:1" x14ac:dyDescent="0.3">
      <c r="A425" t="str">
        <f t="shared" si="6"/>
        <v/>
      </c>
    </row>
    <row r="426" spans="1:1" x14ac:dyDescent="0.3">
      <c r="A426" t="str">
        <f t="shared" si="6"/>
        <v/>
      </c>
    </row>
    <row r="427" spans="1:1" x14ac:dyDescent="0.3">
      <c r="A427" t="str">
        <f t="shared" si="6"/>
        <v/>
      </c>
    </row>
    <row r="428" spans="1:1" x14ac:dyDescent="0.3">
      <c r="A428" t="str">
        <f t="shared" si="6"/>
        <v/>
      </c>
    </row>
    <row r="429" spans="1:1" x14ac:dyDescent="0.3">
      <c r="A429" t="str">
        <f t="shared" si="6"/>
        <v/>
      </c>
    </row>
    <row r="430" spans="1:1" x14ac:dyDescent="0.3">
      <c r="A430" t="str">
        <f t="shared" si="6"/>
        <v/>
      </c>
    </row>
    <row r="431" spans="1:1" x14ac:dyDescent="0.3">
      <c r="A431" t="str">
        <f t="shared" si="6"/>
        <v/>
      </c>
    </row>
    <row r="432" spans="1:1" x14ac:dyDescent="0.3">
      <c r="A432" t="str">
        <f t="shared" si="6"/>
        <v/>
      </c>
    </row>
    <row r="433" spans="1:1" x14ac:dyDescent="0.3">
      <c r="A433" t="str">
        <f t="shared" si="6"/>
        <v/>
      </c>
    </row>
    <row r="434" spans="1:1" x14ac:dyDescent="0.3">
      <c r="A434" t="str">
        <f t="shared" si="6"/>
        <v/>
      </c>
    </row>
    <row r="435" spans="1:1" x14ac:dyDescent="0.3">
      <c r="A435" t="str">
        <f t="shared" si="6"/>
        <v/>
      </c>
    </row>
    <row r="436" spans="1:1" x14ac:dyDescent="0.3">
      <c r="A436" t="str">
        <f t="shared" si="6"/>
        <v/>
      </c>
    </row>
    <row r="437" spans="1:1" x14ac:dyDescent="0.3">
      <c r="A437" t="str">
        <f t="shared" si="6"/>
        <v/>
      </c>
    </row>
    <row r="438" spans="1:1" x14ac:dyDescent="0.3">
      <c r="A438" t="str">
        <f t="shared" si="6"/>
        <v/>
      </c>
    </row>
    <row r="439" spans="1:1" x14ac:dyDescent="0.3">
      <c r="A439" t="str">
        <f t="shared" si="6"/>
        <v/>
      </c>
    </row>
    <row r="440" spans="1:1" x14ac:dyDescent="0.3">
      <c r="A440" t="str">
        <f t="shared" si="6"/>
        <v/>
      </c>
    </row>
    <row r="441" spans="1:1" x14ac:dyDescent="0.3">
      <c r="A441" t="str">
        <f t="shared" si="6"/>
        <v/>
      </c>
    </row>
    <row r="442" spans="1:1" x14ac:dyDescent="0.3">
      <c r="A442" t="str">
        <f t="shared" si="6"/>
        <v/>
      </c>
    </row>
    <row r="443" spans="1:1" x14ac:dyDescent="0.3">
      <c r="A443" t="str">
        <f t="shared" si="6"/>
        <v/>
      </c>
    </row>
    <row r="444" spans="1:1" x14ac:dyDescent="0.3">
      <c r="A444" t="str">
        <f t="shared" si="6"/>
        <v/>
      </c>
    </row>
    <row r="445" spans="1:1" x14ac:dyDescent="0.3">
      <c r="A445" t="str">
        <f t="shared" si="6"/>
        <v/>
      </c>
    </row>
    <row r="446" spans="1:1" x14ac:dyDescent="0.3">
      <c r="A446" t="str">
        <f t="shared" si="6"/>
        <v/>
      </c>
    </row>
    <row r="447" spans="1:1" x14ac:dyDescent="0.3">
      <c r="A447" t="str">
        <f t="shared" si="6"/>
        <v/>
      </c>
    </row>
    <row r="448" spans="1:1" x14ac:dyDescent="0.3">
      <c r="A448" t="str">
        <f t="shared" si="6"/>
        <v/>
      </c>
    </row>
    <row r="449" spans="1:1" x14ac:dyDescent="0.3">
      <c r="A449" t="str">
        <f t="shared" si="6"/>
        <v/>
      </c>
    </row>
    <row r="450" spans="1:1" x14ac:dyDescent="0.3">
      <c r="A450" t="str">
        <f t="shared" ref="A450:A513" si="7">IF(C450="","",ROW()-1)</f>
        <v/>
      </c>
    </row>
    <row r="451" spans="1:1" x14ac:dyDescent="0.3">
      <c r="A451" t="str">
        <f t="shared" si="7"/>
        <v/>
      </c>
    </row>
    <row r="452" spans="1:1" x14ac:dyDescent="0.3">
      <c r="A452" t="str">
        <f t="shared" si="7"/>
        <v/>
      </c>
    </row>
    <row r="453" spans="1:1" x14ac:dyDescent="0.3">
      <c r="A453" t="str">
        <f t="shared" si="7"/>
        <v/>
      </c>
    </row>
    <row r="454" spans="1:1" x14ac:dyDescent="0.3">
      <c r="A454" t="str">
        <f t="shared" si="7"/>
        <v/>
      </c>
    </row>
    <row r="455" spans="1:1" x14ac:dyDescent="0.3">
      <c r="A455" t="str">
        <f t="shared" si="7"/>
        <v/>
      </c>
    </row>
    <row r="456" spans="1:1" x14ac:dyDescent="0.3">
      <c r="A456" t="str">
        <f t="shared" si="7"/>
        <v/>
      </c>
    </row>
    <row r="457" spans="1:1" x14ac:dyDescent="0.3">
      <c r="A457" t="str">
        <f t="shared" si="7"/>
        <v/>
      </c>
    </row>
    <row r="458" spans="1:1" x14ac:dyDescent="0.3">
      <c r="A458" t="str">
        <f t="shared" si="7"/>
        <v/>
      </c>
    </row>
    <row r="459" spans="1:1" x14ac:dyDescent="0.3">
      <c r="A459" t="str">
        <f t="shared" si="7"/>
        <v/>
      </c>
    </row>
    <row r="460" spans="1:1" x14ac:dyDescent="0.3">
      <c r="A460" t="str">
        <f t="shared" si="7"/>
        <v/>
      </c>
    </row>
    <row r="461" spans="1:1" x14ac:dyDescent="0.3">
      <c r="A461" t="str">
        <f t="shared" si="7"/>
        <v/>
      </c>
    </row>
    <row r="462" spans="1:1" x14ac:dyDescent="0.3">
      <c r="A462" t="str">
        <f t="shared" si="7"/>
        <v/>
      </c>
    </row>
    <row r="463" spans="1:1" x14ac:dyDescent="0.3">
      <c r="A463" t="str">
        <f t="shared" si="7"/>
        <v/>
      </c>
    </row>
    <row r="464" spans="1:1" x14ac:dyDescent="0.3">
      <c r="A464" t="str">
        <f t="shared" si="7"/>
        <v/>
      </c>
    </row>
    <row r="465" spans="1:1" x14ac:dyDescent="0.3">
      <c r="A465" t="str">
        <f t="shared" si="7"/>
        <v/>
      </c>
    </row>
    <row r="466" spans="1:1" x14ac:dyDescent="0.3">
      <c r="A466" t="str">
        <f t="shared" si="7"/>
        <v/>
      </c>
    </row>
    <row r="467" spans="1:1" x14ac:dyDescent="0.3">
      <c r="A467" t="str">
        <f t="shared" si="7"/>
        <v/>
      </c>
    </row>
    <row r="468" spans="1:1" x14ac:dyDescent="0.3">
      <c r="A468" t="str">
        <f t="shared" si="7"/>
        <v/>
      </c>
    </row>
    <row r="469" spans="1:1" x14ac:dyDescent="0.3">
      <c r="A469" t="str">
        <f t="shared" si="7"/>
        <v/>
      </c>
    </row>
    <row r="470" spans="1:1" x14ac:dyDescent="0.3">
      <c r="A470" t="str">
        <f t="shared" si="7"/>
        <v/>
      </c>
    </row>
    <row r="471" spans="1:1" x14ac:dyDescent="0.3">
      <c r="A471" t="str">
        <f t="shared" si="7"/>
        <v/>
      </c>
    </row>
    <row r="472" spans="1:1" x14ac:dyDescent="0.3">
      <c r="A472" t="str">
        <f t="shared" si="7"/>
        <v/>
      </c>
    </row>
    <row r="473" spans="1:1" x14ac:dyDescent="0.3">
      <c r="A473" t="str">
        <f t="shared" si="7"/>
        <v/>
      </c>
    </row>
    <row r="474" spans="1:1" x14ac:dyDescent="0.3">
      <c r="A474" t="str">
        <f t="shared" si="7"/>
        <v/>
      </c>
    </row>
    <row r="475" spans="1:1" x14ac:dyDescent="0.3">
      <c r="A475" t="str">
        <f t="shared" si="7"/>
        <v/>
      </c>
    </row>
    <row r="476" spans="1:1" x14ac:dyDescent="0.3">
      <c r="A476" t="str">
        <f t="shared" si="7"/>
        <v/>
      </c>
    </row>
    <row r="477" spans="1:1" x14ac:dyDescent="0.3">
      <c r="A477" t="str">
        <f t="shared" si="7"/>
        <v/>
      </c>
    </row>
    <row r="478" spans="1:1" x14ac:dyDescent="0.3">
      <c r="A478" t="str">
        <f t="shared" si="7"/>
        <v/>
      </c>
    </row>
    <row r="479" spans="1:1" x14ac:dyDescent="0.3">
      <c r="A479" t="str">
        <f t="shared" si="7"/>
        <v/>
      </c>
    </row>
    <row r="480" spans="1:1" x14ac:dyDescent="0.3">
      <c r="A480" t="str">
        <f t="shared" si="7"/>
        <v/>
      </c>
    </row>
    <row r="481" spans="1:1" x14ac:dyDescent="0.3">
      <c r="A481" t="str">
        <f t="shared" si="7"/>
        <v/>
      </c>
    </row>
    <row r="482" spans="1:1" x14ac:dyDescent="0.3">
      <c r="A482" t="str">
        <f t="shared" si="7"/>
        <v/>
      </c>
    </row>
    <row r="483" spans="1:1" x14ac:dyDescent="0.3">
      <c r="A483" t="str">
        <f t="shared" si="7"/>
        <v/>
      </c>
    </row>
    <row r="484" spans="1:1" x14ac:dyDescent="0.3">
      <c r="A484" t="str">
        <f t="shared" si="7"/>
        <v/>
      </c>
    </row>
    <row r="485" spans="1:1" x14ac:dyDescent="0.3">
      <c r="A485" t="str">
        <f t="shared" si="7"/>
        <v/>
      </c>
    </row>
    <row r="486" spans="1:1" x14ac:dyDescent="0.3">
      <c r="A486" t="str">
        <f t="shared" si="7"/>
        <v/>
      </c>
    </row>
    <row r="487" spans="1:1" x14ac:dyDescent="0.3">
      <c r="A487" t="str">
        <f t="shared" si="7"/>
        <v/>
      </c>
    </row>
    <row r="488" spans="1:1" x14ac:dyDescent="0.3">
      <c r="A488" t="str">
        <f t="shared" si="7"/>
        <v/>
      </c>
    </row>
    <row r="489" spans="1:1" x14ac:dyDescent="0.3">
      <c r="A489" t="str">
        <f t="shared" si="7"/>
        <v/>
      </c>
    </row>
    <row r="490" spans="1:1" x14ac:dyDescent="0.3">
      <c r="A490" t="str">
        <f t="shared" si="7"/>
        <v/>
      </c>
    </row>
    <row r="491" spans="1:1" x14ac:dyDescent="0.3">
      <c r="A491" t="str">
        <f t="shared" si="7"/>
        <v/>
      </c>
    </row>
    <row r="492" spans="1:1" x14ac:dyDescent="0.3">
      <c r="A492" t="str">
        <f t="shared" si="7"/>
        <v/>
      </c>
    </row>
    <row r="493" spans="1:1" x14ac:dyDescent="0.3">
      <c r="A493" t="str">
        <f t="shared" si="7"/>
        <v/>
      </c>
    </row>
    <row r="494" spans="1:1" x14ac:dyDescent="0.3">
      <c r="A494" t="str">
        <f t="shared" si="7"/>
        <v/>
      </c>
    </row>
    <row r="495" spans="1:1" x14ac:dyDescent="0.3">
      <c r="A495" t="str">
        <f t="shared" si="7"/>
        <v/>
      </c>
    </row>
    <row r="496" spans="1:1" x14ac:dyDescent="0.3">
      <c r="A496" t="str">
        <f t="shared" si="7"/>
        <v/>
      </c>
    </row>
    <row r="497" spans="1:1" x14ac:dyDescent="0.3">
      <c r="A497" t="str">
        <f t="shared" si="7"/>
        <v/>
      </c>
    </row>
    <row r="498" spans="1:1" x14ac:dyDescent="0.3">
      <c r="A498" t="str">
        <f t="shared" si="7"/>
        <v/>
      </c>
    </row>
    <row r="499" spans="1:1" x14ac:dyDescent="0.3">
      <c r="A499" t="str">
        <f t="shared" si="7"/>
        <v/>
      </c>
    </row>
    <row r="500" spans="1:1" x14ac:dyDescent="0.3">
      <c r="A500" t="str">
        <f t="shared" si="7"/>
        <v/>
      </c>
    </row>
    <row r="501" spans="1:1" x14ac:dyDescent="0.3">
      <c r="A501" t="str">
        <f t="shared" si="7"/>
        <v/>
      </c>
    </row>
    <row r="502" spans="1:1" x14ac:dyDescent="0.3">
      <c r="A502" t="str">
        <f t="shared" si="7"/>
        <v/>
      </c>
    </row>
    <row r="503" spans="1:1" x14ac:dyDescent="0.3">
      <c r="A503" t="str">
        <f t="shared" si="7"/>
        <v/>
      </c>
    </row>
    <row r="504" spans="1:1" x14ac:dyDescent="0.3">
      <c r="A504" t="str">
        <f t="shared" si="7"/>
        <v/>
      </c>
    </row>
    <row r="505" spans="1:1" x14ac:dyDescent="0.3">
      <c r="A505" t="str">
        <f t="shared" si="7"/>
        <v/>
      </c>
    </row>
    <row r="506" spans="1:1" x14ac:dyDescent="0.3">
      <c r="A506" t="str">
        <f t="shared" si="7"/>
        <v/>
      </c>
    </row>
    <row r="507" spans="1:1" x14ac:dyDescent="0.3">
      <c r="A507" t="str">
        <f t="shared" si="7"/>
        <v/>
      </c>
    </row>
    <row r="508" spans="1:1" x14ac:dyDescent="0.3">
      <c r="A508" t="str">
        <f t="shared" si="7"/>
        <v/>
      </c>
    </row>
    <row r="509" spans="1:1" x14ac:dyDescent="0.3">
      <c r="A509" t="str">
        <f t="shared" si="7"/>
        <v/>
      </c>
    </row>
    <row r="510" spans="1:1" x14ac:dyDescent="0.3">
      <c r="A510" t="str">
        <f t="shared" si="7"/>
        <v/>
      </c>
    </row>
    <row r="511" spans="1:1" x14ac:dyDescent="0.3">
      <c r="A511" t="str">
        <f t="shared" si="7"/>
        <v/>
      </c>
    </row>
    <row r="512" spans="1:1" x14ac:dyDescent="0.3">
      <c r="A512" t="str">
        <f t="shared" si="7"/>
        <v/>
      </c>
    </row>
    <row r="513" spans="1:1" x14ac:dyDescent="0.3">
      <c r="A513" t="str">
        <f t="shared" si="7"/>
        <v/>
      </c>
    </row>
    <row r="514" spans="1:1" x14ac:dyDescent="0.3">
      <c r="A514" t="str">
        <f t="shared" ref="A514:A550" si="8">IF(C514="","",ROW()-1)</f>
        <v/>
      </c>
    </row>
    <row r="515" spans="1:1" x14ac:dyDescent="0.3">
      <c r="A515" t="str">
        <f t="shared" si="8"/>
        <v/>
      </c>
    </row>
    <row r="516" spans="1:1" x14ac:dyDescent="0.3">
      <c r="A516" t="str">
        <f t="shared" si="8"/>
        <v/>
      </c>
    </row>
    <row r="517" spans="1:1" x14ac:dyDescent="0.3">
      <c r="A517" t="str">
        <f t="shared" si="8"/>
        <v/>
      </c>
    </row>
    <row r="518" spans="1:1" x14ac:dyDescent="0.3">
      <c r="A518" t="str">
        <f t="shared" si="8"/>
        <v/>
      </c>
    </row>
    <row r="519" spans="1:1" x14ac:dyDescent="0.3">
      <c r="A519" t="str">
        <f t="shared" si="8"/>
        <v/>
      </c>
    </row>
    <row r="520" spans="1:1" x14ac:dyDescent="0.3">
      <c r="A520" t="str">
        <f t="shared" si="8"/>
        <v/>
      </c>
    </row>
    <row r="521" spans="1:1" x14ac:dyDescent="0.3">
      <c r="A521" t="str">
        <f t="shared" si="8"/>
        <v/>
      </c>
    </row>
    <row r="522" spans="1:1" x14ac:dyDescent="0.3">
      <c r="A522" t="str">
        <f t="shared" si="8"/>
        <v/>
      </c>
    </row>
    <row r="523" spans="1:1" x14ac:dyDescent="0.3">
      <c r="A523" t="str">
        <f t="shared" si="8"/>
        <v/>
      </c>
    </row>
    <row r="524" spans="1:1" x14ac:dyDescent="0.3">
      <c r="A524" t="str">
        <f t="shared" si="8"/>
        <v/>
      </c>
    </row>
    <row r="525" spans="1:1" x14ac:dyDescent="0.3">
      <c r="A525" t="str">
        <f t="shared" si="8"/>
        <v/>
      </c>
    </row>
    <row r="526" spans="1:1" x14ac:dyDescent="0.3">
      <c r="A526" t="str">
        <f t="shared" si="8"/>
        <v/>
      </c>
    </row>
    <row r="527" spans="1:1" x14ac:dyDescent="0.3">
      <c r="A527" t="str">
        <f t="shared" si="8"/>
        <v/>
      </c>
    </row>
    <row r="528" spans="1:1" x14ac:dyDescent="0.3">
      <c r="A528" t="str">
        <f t="shared" si="8"/>
        <v/>
      </c>
    </row>
    <row r="529" spans="1:1" x14ac:dyDescent="0.3">
      <c r="A529" t="str">
        <f t="shared" si="8"/>
        <v/>
      </c>
    </row>
    <row r="530" spans="1:1" x14ac:dyDescent="0.3">
      <c r="A530" t="str">
        <f t="shared" si="8"/>
        <v/>
      </c>
    </row>
    <row r="531" spans="1:1" x14ac:dyDescent="0.3">
      <c r="A531" t="str">
        <f t="shared" si="8"/>
        <v/>
      </c>
    </row>
    <row r="532" spans="1:1" x14ac:dyDescent="0.3">
      <c r="A532" t="str">
        <f t="shared" si="8"/>
        <v/>
      </c>
    </row>
    <row r="533" spans="1:1" x14ac:dyDescent="0.3">
      <c r="A533" t="str">
        <f t="shared" si="8"/>
        <v/>
      </c>
    </row>
    <row r="534" spans="1:1" x14ac:dyDescent="0.3">
      <c r="A534" t="str">
        <f t="shared" si="8"/>
        <v/>
      </c>
    </row>
    <row r="535" spans="1:1" x14ac:dyDescent="0.3">
      <c r="A535" t="str">
        <f t="shared" si="8"/>
        <v/>
      </c>
    </row>
    <row r="536" spans="1:1" x14ac:dyDescent="0.3">
      <c r="A536" t="str">
        <f t="shared" si="8"/>
        <v/>
      </c>
    </row>
    <row r="537" spans="1:1" x14ac:dyDescent="0.3">
      <c r="A537" t="str">
        <f t="shared" si="8"/>
        <v/>
      </c>
    </row>
    <row r="538" spans="1:1" x14ac:dyDescent="0.3">
      <c r="A538" t="str">
        <f t="shared" si="8"/>
        <v/>
      </c>
    </row>
    <row r="539" spans="1:1" x14ac:dyDescent="0.3">
      <c r="A539" t="str">
        <f t="shared" si="8"/>
        <v/>
      </c>
    </row>
    <row r="540" spans="1:1" x14ac:dyDescent="0.3">
      <c r="A540" t="str">
        <f t="shared" si="8"/>
        <v/>
      </c>
    </row>
    <row r="541" spans="1:1" x14ac:dyDescent="0.3">
      <c r="A541" t="str">
        <f t="shared" si="8"/>
        <v/>
      </c>
    </row>
    <row r="542" spans="1:1" x14ac:dyDescent="0.3">
      <c r="A542" t="str">
        <f t="shared" si="8"/>
        <v/>
      </c>
    </row>
    <row r="543" spans="1:1" x14ac:dyDescent="0.3">
      <c r="A543" t="str">
        <f t="shared" si="8"/>
        <v/>
      </c>
    </row>
    <row r="544" spans="1:1" x14ac:dyDescent="0.3">
      <c r="A544" t="str">
        <f t="shared" si="8"/>
        <v/>
      </c>
    </row>
    <row r="545" spans="1:1" x14ac:dyDescent="0.3">
      <c r="A545" t="str">
        <f t="shared" si="8"/>
        <v/>
      </c>
    </row>
    <row r="546" spans="1:1" x14ac:dyDescent="0.3">
      <c r="A546" t="str">
        <f t="shared" si="8"/>
        <v/>
      </c>
    </row>
    <row r="547" spans="1:1" x14ac:dyDescent="0.3">
      <c r="A547" t="str">
        <f t="shared" si="8"/>
        <v/>
      </c>
    </row>
    <row r="548" spans="1:1" x14ac:dyDescent="0.3">
      <c r="A548" t="str">
        <f t="shared" si="8"/>
        <v/>
      </c>
    </row>
    <row r="549" spans="1:1" x14ac:dyDescent="0.3">
      <c r="A549" t="str">
        <f t="shared" si="8"/>
        <v/>
      </c>
    </row>
    <row r="550" spans="1:1" x14ac:dyDescent="0.3">
      <c r="A550" t="str">
        <f t="shared" si="8"/>
        <v/>
      </c>
    </row>
  </sheetData>
  <autoFilter ref="A1:E86" xr:uid="{00000000-0009-0000-0000-000005000000}"/>
  <conditionalFormatting sqref="A2:E500">
    <cfRule type="expression" dxfId="0" priority="2">
      <formula>$D2="Ν"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500-000000000000}">
          <x14:formula1>
            <xm:f>SETTINGS!$H$2:$H$200</xm:f>
          </x14:formula1>
          <xm:sqref>B2:B550</xm:sqref>
        </x14:dataValidation>
        <x14:dataValidation type="list" allowBlank="1" xr:uid="{00000000-0002-0000-0500-000001000000}">
          <x14:formula1>
            <xm:f>SETTINGS!$G$2:$G$10</xm:f>
          </x14:formula1>
          <xm:sqref>D2:D550</xm:sqref>
        </x14:dataValidation>
        <x14:dataValidation type="list" allowBlank="1" xr:uid="{00000000-0002-0000-0500-000002000000}">
          <x14:formula1>
            <xm:f>SETTINGS!$F$2:$F$50</xm:f>
          </x14:formula1>
          <xm:sqref>E2:E550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Φύλλο7"/>
  <dimension ref="A1:D6"/>
  <sheetViews>
    <sheetView zoomScale="150" zoomScaleNormal="150" workbookViewId="0">
      <selection activeCell="B5" sqref="B5"/>
    </sheetView>
  </sheetViews>
  <sheetFormatPr defaultRowHeight="14.4" x14ac:dyDescent="0.3"/>
  <cols>
    <col min="1" max="2" width="24" customWidth="1"/>
  </cols>
  <sheetData>
    <row r="1" spans="1:4" x14ac:dyDescent="0.3">
      <c r="B1" s="9"/>
    </row>
    <row r="2" spans="1:4" x14ac:dyDescent="0.3">
      <c r="A2" s="10" t="s">
        <v>2</v>
      </c>
    </row>
    <row r="3" spans="1:4" x14ac:dyDescent="0.3">
      <c r="A3" s="10" t="s">
        <v>218</v>
      </c>
    </row>
    <row r="4" spans="1:4" x14ac:dyDescent="0.3">
      <c r="A4" s="10" t="s">
        <v>0</v>
      </c>
    </row>
    <row r="5" spans="1:4" x14ac:dyDescent="0.3">
      <c r="A5" s="10" t="s">
        <v>10</v>
      </c>
    </row>
    <row r="6" spans="1:4" x14ac:dyDescent="0.3">
      <c r="A6" s="60" t="s">
        <v>219</v>
      </c>
      <c r="B6" s="59"/>
      <c r="C6" s="59"/>
      <c r="D6" s="59"/>
    </row>
  </sheetData>
  <mergeCells count="1">
    <mergeCell ref="A6:D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Φύλλο7.AddNewPatient">
                <anchor moveWithCells="1" sizeWithCells="1">
                  <from>
                    <xdr:col>0</xdr:col>
                    <xdr:colOff>15240</xdr:colOff>
                    <xdr:row>7</xdr:row>
                    <xdr:rowOff>30480</xdr:rowOff>
                  </from>
                  <to>
                    <xdr:col>0</xdr:col>
                    <xdr:colOff>1592580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Φύλλο7.DeletePatientSafe">
                <anchor moveWithCells="1" sizeWithCells="1">
                  <from>
                    <xdr:col>1</xdr:col>
                    <xdr:colOff>38100</xdr:colOff>
                    <xdr:row>7</xdr:row>
                    <xdr:rowOff>15240</xdr:rowOff>
                  </from>
                  <to>
                    <xdr:col>2</xdr:col>
                    <xdr:colOff>7620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A42FEDE-F131-4B98-A8C1-217A60C32FAA}">
          <x14:formula1>
            <xm:f>SETTINGS!$H$2:$H$28</xm:f>
          </x14:formula1>
          <xm:sqref>B3</xm:sqref>
        </x14:dataValidation>
        <x14:dataValidation type="list" allowBlank="1" showInputMessage="1" showErrorMessage="1" xr:uid="{A74ABD98-64E1-43EE-AE36-7A9BA9B3450C}">
          <x14:formula1>
            <xm:f>SETTINGS!$G$2:$G$3</xm:f>
          </x14:formula1>
          <xm:sqref>B4</xm:sqref>
        </x14:dataValidation>
        <x14:dataValidation type="list" allowBlank="1" showInputMessage="1" showErrorMessage="1" xr:uid="{FCEA87ED-28FE-49D8-A316-CDF11108F614}">
          <x14:formula1>
            <xm:f>SETTINGS!$F$2:$F$9</xm:f>
          </x14:formula1>
          <xm:sqref>B5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Φύλλο8"/>
  <dimension ref="A1:H32"/>
  <sheetViews>
    <sheetView workbookViewId="0">
      <selection activeCell="C25" sqref="C25"/>
    </sheetView>
  </sheetViews>
  <sheetFormatPr defaultRowHeight="14.4" x14ac:dyDescent="0.3"/>
  <cols>
    <col min="1" max="1" width="20" customWidth="1"/>
    <col min="2" max="3" width="14" customWidth="1"/>
    <col min="4" max="5" width="18" customWidth="1"/>
    <col min="6" max="6" width="24" customWidth="1"/>
    <col min="7" max="7" width="8" customWidth="1"/>
    <col min="8" max="8" width="12" customWidth="1"/>
  </cols>
  <sheetData>
    <row r="1" spans="1:8" ht="28.8" customHeight="1" x14ac:dyDescent="0.3">
      <c r="A1" s="20" t="s">
        <v>220</v>
      </c>
      <c r="B1" s="20" t="s">
        <v>221</v>
      </c>
      <c r="C1" s="20" t="s">
        <v>222</v>
      </c>
      <c r="D1" s="20" t="s">
        <v>223</v>
      </c>
      <c r="E1" s="20" t="s">
        <v>224</v>
      </c>
      <c r="F1" s="20" t="s">
        <v>225</v>
      </c>
      <c r="G1" s="20" t="s">
        <v>226</v>
      </c>
      <c r="H1" s="20" t="s">
        <v>227</v>
      </c>
    </row>
    <row r="2" spans="1:8" x14ac:dyDescent="0.3">
      <c r="A2" t="s">
        <v>40</v>
      </c>
      <c r="B2" t="s">
        <v>30</v>
      </c>
      <c r="C2" t="s">
        <v>228</v>
      </c>
      <c r="D2" t="s">
        <v>229</v>
      </c>
      <c r="E2" t="s">
        <v>3</v>
      </c>
      <c r="F2" t="s">
        <v>85</v>
      </c>
      <c r="G2" t="s">
        <v>109</v>
      </c>
      <c r="H2" t="s">
        <v>104</v>
      </c>
    </row>
    <row r="3" spans="1:8" x14ac:dyDescent="0.3">
      <c r="A3" t="s">
        <v>43</v>
      </c>
      <c r="B3" t="s">
        <v>44</v>
      </c>
      <c r="C3" t="s">
        <v>30</v>
      </c>
      <c r="D3" t="s">
        <v>33</v>
      </c>
      <c r="E3" t="s">
        <v>4</v>
      </c>
      <c r="F3" t="s">
        <v>87</v>
      </c>
      <c r="G3" t="s">
        <v>106</v>
      </c>
      <c r="H3" t="s">
        <v>107</v>
      </c>
    </row>
    <row r="4" spans="1:8" x14ac:dyDescent="0.3">
      <c r="A4" t="s">
        <v>46</v>
      </c>
      <c r="B4" t="s">
        <v>42</v>
      </c>
      <c r="C4" t="s">
        <v>230</v>
      </c>
      <c r="D4" t="s">
        <v>31</v>
      </c>
      <c r="E4" t="s">
        <v>5</v>
      </c>
      <c r="F4" t="s">
        <v>89</v>
      </c>
      <c r="H4" t="s">
        <v>113</v>
      </c>
    </row>
    <row r="5" spans="1:8" x14ac:dyDescent="0.3">
      <c r="A5" t="s">
        <v>54</v>
      </c>
      <c r="B5" t="s">
        <v>37</v>
      </c>
      <c r="C5" t="s">
        <v>34</v>
      </c>
      <c r="D5" t="s">
        <v>99</v>
      </c>
      <c r="E5" t="s">
        <v>6</v>
      </c>
      <c r="F5" t="s">
        <v>91</v>
      </c>
      <c r="H5" t="s">
        <v>118</v>
      </c>
    </row>
    <row r="6" spans="1:8" x14ac:dyDescent="0.3">
      <c r="A6" t="s">
        <v>52</v>
      </c>
      <c r="B6" t="s">
        <v>36</v>
      </c>
      <c r="C6" t="s">
        <v>42</v>
      </c>
      <c r="D6" t="s">
        <v>100</v>
      </c>
      <c r="E6" t="s">
        <v>7</v>
      </c>
      <c r="F6" t="s">
        <v>93</v>
      </c>
      <c r="H6" t="s">
        <v>121</v>
      </c>
    </row>
    <row r="7" spans="1:8" x14ac:dyDescent="0.3">
      <c r="A7" t="s">
        <v>55</v>
      </c>
      <c r="B7" t="s">
        <v>39</v>
      </c>
      <c r="C7" t="s">
        <v>65</v>
      </c>
      <c r="D7" t="s">
        <v>101</v>
      </c>
      <c r="E7" t="s">
        <v>8</v>
      </c>
      <c r="F7" t="s">
        <v>94</v>
      </c>
      <c r="H7" t="s">
        <v>125</v>
      </c>
    </row>
    <row r="8" spans="1:8" x14ac:dyDescent="0.3">
      <c r="A8" t="s">
        <v>32</v>
      </c>
      <c r="B8" t="s">
        <v>74</v>
      </c>
      <c r="C8" t="s">
        <v>60</v>
      </c>
      <c r="D8" t="s">
        <v>63</v>
      </c>
      <c r="E8" t="s">
        <v>9</v>
      </c>
      <c r="F8" t="s">
        <v>95</v>
      </c>
      <c r="H8" t="s">
        <v>131</v>
      </c>
    </row>
    <row r="9" spans="1:8" x14ac:dyDescent="0.3">
      <c r="A9" t="s">
        <v>53</v>
      </c>
      <c r="C9" t="s">
        <v>36</v>
      </c>
      <c r="D9" t="s">
        <v>102</v>
      </c>
      <c r="F9" t="s">
        <v>96</v>
      </c>
      <c r="H9" t="s">
        <v>137</v>
      </c>
    </row>
    <row r="10" spans="1:8" x14ac:dyDescent="0.3">
      <c r="A10" t="s">
        <v>41</v>
      </c>
      <c r="C10" t="s">
        <v>73</v>
      </c>
      <c r="D10" t="s">
        <v>231</v>
      </c>
      <c r="H10" t="s">
        <v>141</v>
      </c>
    </row>
    <row r="11" spans="1:8" x14ac:dyDescent="0.3">
      <c r="A11" t="s">
        <v>62</v>
      </c>
      <c r="C11" t="s">
        <v>232</v>
      </c>
      <c r="D11" t="s">
        <v>38</v>
      </c>
      <c r="H11" t="s">
        <v>145</v>
      </c>
    </row>
    <row r="12" spans="1:8" x14ac:dyDescent="0.3">
      <c r="A12" t="s">
        <v>49</v>
      </c>
      <c r="C12" t="s">
        <v>74</v>
      </c>
      <c r="D12" t="s">
        <v>61</v>
      </c>
      <c r="H12" t="s">
        <v>148</v>
      </c>
    </row>
    <row r="13" spans="1:8" x14ac:dyDescent="0.3">
      <c r="A13" t="s">
        <v>57</v>
      </c>
      <c r="D13" t="s">
        <v>64</v>
      </c>
      <c r="H13" t="s">
        <v>150</v>
      </c>
    </row>
    <row r="14" spans="1:8" x14ac:dyDescent="0.3">
      <c r="A14" t="s">
        <v>45</v>
      </c>
      <c r="D14" t="s">
        <v>233</v>
      </c>
      <c r="H14" t="s">
        <v>152</v>
      </c>
    </row>
    <row r="15" spans="1:8" x14ac:dyDescent="0.3">
      <c r="A15" t="s">
        <v>58</v>
      </c>
      <c r="D15" t="s">
        <v>234</v>
      </c>
      <c r="H15" t="s">
        <v>156</v>
      </c>
    </row>
    <row r="16" spans="1:8" x14ac:dyDescent="0.3">
      <c r="A16" t="s">
        <v>51</v>
      </c>
      <c r="D16" t="s">
        <v>235</v>
      </c>
      <c r="H16" t="s">
        <v>158</v>
      </c>
    </row>
    <row r="17" spans="1:8" x14ac:dyDescent="0.3">
      <c r="A17" t="s">
        <v>47</v>
      </c>
      <c r="D17" t="s">
        <v>48</v>
      </c>
      <c r="H17" t="s">
        <v>161</v>
      </c>
    </row>
    <row r="18" spans="1:8" x14ac:dyDescent="0.3">
      <c r="A18" t="s">
        <v>56</v>
      </c>
      <c r="D18" t="s">
        <v>236</v>
      </c>
      <c r="H18" t="s">
        <v>166</v>
      </c>
    </row>
    <row r="19" spans="1:8" x14ac:dyDescent="0.3">
      <c r="D19" t="s">
        <v>237</v>
      </c>
      <c r="H19" t="s">
        <v>170</v>
      </c>
    </row>
    <row r="20" spans="1:8" x14ac:dyDescent="0.3">
      <c r="D20" t="s">
        <v>75</v>
      </c>
      <c r="H20" t="s">
        <v>175</v>
      </c>
    </row>
    <row r="21" spans="1:8" x14ac:dyDescent="0.3">
      <c r="D21" t="s">
        <v>238</v>
      </c>
      <c r="H21" t="s">
        <v>181</v>
      </c>
    </row>
    <row r="22" spans="1:8" x14ac:dyDescent="0.3">
      <c r="D22" t="s">
        <v>35</v>
      </c>
      <c r="H22" t="s">
        <v>186</v>
      </c>
    </row>
    <row r="23" spans="1:8" x14ac:dyDescent="0.3">
      <c r="D23" t="s">
        <v>239</v>
      </c>
      <c r="H23" t="s">
        <v>192</v>
      </c>
    </row>
    <row r="24" spans="1:8" x14ac:dyDescent="0.3">
      <c r="D24" t="s">
        <v>66</v>
      </c>
      <c r="H24" t="s">
        <v>197</v>
      </c>
    </row>
    <row r="25" spans="1:8" x14ac:dyDescent="0.3">
      <c r="D25" t="s">
        <v>72</v>
      </c>
      <c r="H25" t="s">
        <v>200</v>
      </c>
    </row>
    <row r="26" spans="1:8" x14ac:dyDescent="0.3">
      <c r="D26" t="s">
        <v>50</v>
      </c>
      <c r="H26" t="s">
        <v>205</v>
      </c>
    </row>
    <row r="27" spans="1:8" x14ac:dyDescent="0.3">
      <c r="D27" t="s">
        <v>240</v>
      </c>
      <c r="H27" t="s">
        <v>208</v>
      </c>
    </row>
    <row r="28" spans="1:8" x14ac:dyDescent="0.3">
      <c r="D28" t="s">
        <v>241</v>
      </c>
      <c r="H28" t="s">
        <v>213</v>
      </c>
    </row>
    <row r="29" spans="1:8" x14ac:dyDescent="0.3">
      <c r="D29" t="s">
        <v>242</v>
      </c>
      <c r="H29" t="s">
        <v>217</v>
      </c>
    </row>
    <row r="30" spans="1:8" x14ac:dyDescent="0.3">
      <c r="D30" t="s">
        <v>243</v>
      </c>
    </row>
    <row r="31" spans="1:8" x14ac:dyDescent="0.3">
      <c r="D31" t="s">
        <v>67</v>
      </c>
    </row>
    <row r="32" spans="1:8" x14ac:dyDescent="0.3">
      <c r="D32" t="s">
        <v>68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Φύλλο9"/>
  <dimension ref="A1:H18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" customWidth="1"/>
    <col min="2" max="2" width="24" customWidth="1"/>
    <col min="3" max="3" width="14" customWidth="1"/>
    <col min="4" max="4" width="10" customWidth="1"/>
    <col min="5" max="5" width="14" customWidth="1"/>
    <col min="6" max="6" width="16" customWidth="1"/>
    <col min="7" max="8" width="11" customWidth="1"/>
  </cols>
  <sheetData>
    <row r="1" spans="1:8" x14ac:dyDescent="0.3">
      <c r="A1" s="8" t="s">
        <v>11</v>
      </c>
      <c r="B1" s="8" t="s">
        <v>2</v>
      </c>
      <c r="C1" s="8" t="s">
        <v>77</v>
      </c>
      <c r="D1" s="8" t="s">
        <v>244</v>
      </c>
      <c r="E1" s="8" t="s">
        <v>245</v>
      </c>
      <c r="F1" s="8" t="s">
        <v>246</v>
      </c>
      <c r="G1" s="8" t="s">
        <v>247</v>
      </c>
      <c r="H1" s="8" t="s">
        <v>248</v>
      </c>
    </row>
    <row r="2" spans="1:8" x14ac:dyDescent="0.3">
      <c r="A2" s="9">
        <v>1</v>
      </c>
      <c r="B2" s="9" t="s">
        <v>105</v>
      </c>
      <c r="C2" s="9" t="s">
        <v>3</v>
      </c>
      <c r="D2" s="9" t="s">
        <v>30</v>
      </c>
      <c r="E2" s="9" t="s">
        <v>31</v>
      </c>
      <c r="F2" s="9" t="s">
        <v>32</v>
      </c>
      <c r="G2" s="9"/>
      <c r="H2" s="9"/>
    </row>
    <row r="3" spans="1:8" x14ac:dyDescent="0.3">
      <c r="A3" s="9">
        <v>1</v>
      </c>
      <c r="B3" s="9" t="s">
        <v>105</v>
      </c>
      <c r="C3" s="9" t="s">
        <v>4</v>
      </c>
      <c r="D3" s="9" t="s">
        <v>30</v>
      </c>
      <c r="E3" s="9" t="s">
        <v>33</v>
      </c>
      <c r="F3" s="9" t="s">
        <v>32</v>
      </c>
      <c r="G3" s="9"/>
      <c r="H3" s="9"/>
    </row>
    <row r="4" spans="1:8" x14ac:dyDescent="0.3">
      <c r="A4" s="9">
        <v>1</v>
      </c>
      <c r="B4" s="9" t="s">
        <v>105</v>
      </c>
      <c r="C4" s="9" t="s">
        <v>6</v>
      </c>
      <c r="D4" s="9" t="s">
        <v>34</v>
      </c>
      <c r="E4" s="9" t="s">
        <v>35</v>
      </c>
      <c r="F4" s="9"/>
      <c r="G4" s="9"/>
      <c r="H4" s="9"/>
    </row>
    <row r="5" spans="1:8" x14ac:dyDescent="0.3">
      <c r="A5" s="9">
        <v>1</v>
      </c>
      <c r="B5" s="9" t="s">
        <v>105</v>
      </c>
      <c r="C5" s="9" t="s">
        <v>7</v>
      </c>
      <c r="D5" s="9" t="s">
        <v>36</v>
      </c>
      <c r="E5" s="9" t="s">
        <v>33</v>
      </c>
      <c r="F5" s="9"/>
      <c r="G5" s="9"/>
      <c r="H5" s="9"/>
    </row>
    <row r="6" spans="1:8" x14ac:dyDescent="0.3">
      <c r="A6" s="9">
        <v>2</v>
      </c>
      <c r="B6" s="13" t="s">
        <v>108</v>
      </c>
      <c r="C6" s="9" t="s">
        <v>3</v>
      </c>
      <c r="D6" s="9" t="s">
        <v>37</v>
      </c>
      <c r="E6" s="9"/>
      <c r="F6" s="9"/>
      <c r="G6" s="9"/>
      <c r="H6" s="9"/>
    </row>
    <row r="7" spans="1:8" x14ac:dyDescent="0.3">
      <c r="A7" s="9">
        <v>2</v>
      </c>
      <c r="B7" s="13" t="s">
        <v>108</v>
      </c>
      <c r="C7" s="9" t="s">
        <v>8</v>
      </c>
      <c r="D7" s="9" t="s">
        <v>36</v>
      </c>
      <c r="E7" s="9" t="s">
        <v>38</v>
      </c>
      <c r="F7" s="9"/>
      <c r="G7" s="9"/>
      <c r="H7" s="9"/>
    </row>
    <row r="8" spans="1:8" x14ac:dyDescent="0.3">
      <c r="A8" s="9">
        <v>3</v>
      </c>
      <c r="B8" s="13" t="s">
        <v>110</v>
      </c>
      <c r="C8" s="9" t="s">
        <v>3</v>
      </c>
      <c r="D8" s="9" t="s">
        <v>39</v>
      </c>
      <c r="E8" s="9"/>
      <c r="F8" s="9" t="s">
        <v>40</v>
      </c>
      <c r="G8" s="9"/>
      <c r="H8" s="9"/>
    </row>
    <row r="9" spans="1:8" x14ac:dyDescent="0.3">
      <c r="A9" s="9">
        <v>3</v>
      </c>
      <c r="B9" s="13" t="s">
        <v>110</v>
      </c>
      <c r="C9" s="9" t="s">
        <v>7</v>
      </c>
      <c r="D9" s="9" t="s">
        <v>36</v>
      </c>
      <c r="E9" s="9" t="s">
        <v>31</v>
      </c>
      <c r="F9" s="9"/>
      <c r="G9" s="9"/>
      <c r="H9" s="9"/>
    </row>
    <row r="10" spans="1:8" x14ac:dyDescent="0.3">
      <c r="A10" s="9">
        <v>4</v>
      </c>
      <c r="B10" s="13" t="s">
        <v>111</v>
      </c>
      <c r="C10" s="9" t="s">
        <v>3</v>
      </c>
      <c r="D10" s="9" t="s">
        <v>37</v>
      </c>
      <c r="E10" s="9"/>
      <c r="F10" s="9" t="s">
        <v>41</v>
      </c>
      <c r="G10" s="9"/>
      <c r="H10" s="9"/>
    </row>
    <row r="11" spans="1:8" x14ac:dyDescent="0.3">
      <c r="A11" s="9">
        <v>5</v>
      </c>
      <c r="B11" s="13" t="s">
        <v>249</v>
      </c>
      <c r="C11" s="9" t="s">
        <v>3</v>
      </c>
      <c r="D11" s="9" t="s">
        <v>42</v>
      </c>
      <c r="E11" s="9"/>
      <c r="F11" s="9" t="s">
        <v>32</v>
      </c>
      <c r="G11" s="9"/>
      <c r="H11" s="9"/>
    </row>
    <row r="12" spans="1:8" x14ac:dyDescent="0.3">
      <c r="A12" s="9">
        <v>5</v>
      </c>
      <c r="B12" s="13" t="s">
        <v>249</v>
      </c>
      <c r="C12" s="9" t="s">
        <v>7</v>
      </c>
      <c r="D12" s="9" t="s">
        <v>37</v>
      </c>
      <c r="E12" s="9" t="s">
        <v>31</v>
      </c>
      <c r="F12" s="9"/>
      <c r="G12" s="9"/>
      <c r="H12" s="9"/>
    </row>
    <row r="13" spans="1:8" x14ac:dyDescent="0.3">
      <c r="A13" s="9">
        <v>7</v>
      </c>
      <c r="B13" s="13" t="s">
        <v>115</v>
      </c>
      <c r="C13" s="9" t="s">
        <v>3</v>
      </c>
      <c r="D13" s="9" t="s">
        <v>39</v>
      </c>
      <c r="E13" s="9"/>
      <c r="F13" s="9" t="s">
        <v>43</v>
      </c>
      <c r="G13" s="9"/>
      <c r="H13" s="9"/>
    </row>
    <row r="14" spans="1:8" x14ac:dyDescent="0.3">
      <c r="A14" s="9">
        <v>7</v>
      </c>
      <c r="B14" s="13" t="s">
        <v>115</v>
      </c>
      <c r="C14" s="9" t="s">
        <v>7</v>
      </c>
      <c r="D14" s="9" t="s">
        <v>44</v>
      </c>
      <c r="E14" s="9"/>
      <c r="F14" s="9"/>
      <c r="G14" s="9"/>
      <c r="H14" s="9"/>
    </row>
    <row r="15" spans="1:8" x14ac:dyDescent="0.3">
      <c r="A15" s="9">
        <v>8</v>
      </c>
      <c r="B15" s="13" t="s">
        <v>116</v>
      </c>
      <c r="C15" s="9" t="s">
        <v>3</v>
      </c>
      <c r="D15" s="9" t="s">
        <v>44</v>
      </c>
      <c r="E15" s="9"/>
      <c r="F15" s="9" t="s">
        <v>45</v>
      </c>
      <c r="G15" s="9"/>
      <c r="H15" s="9"/>
    </row>
    <row r="16" spans="1:8" x14ac:dyDescent="0.3">
      <c r="A16" s="9">
        <v>8</v>
      </c>
      <c r="B16" s="13" t="s">
        <v>116</v>
      </c>
      <c r="C16" s="9" t="s">
        <v>7</v>
      </c>
      <c r="D16" s="9" t="s">
        <v>42</v>
      </c>
      <c r="E16" s="9"/>
      <c r="F16" s="9"/>
      <c r="G16" s="9"/>
      <c r="H16" s="9"/>
    </row>
    <row r="17" spans="1:8" x14ac:dyDescent="0.3">
      <c r="A17" s="9">
        <v>8</v>
      </c>
      <c r="B17" s="13" t="s">
        <v>116</v>
      </c>
      <c r="C17" s="9" t="s">
        <v>8</v>
      </c>
      <c r="D17" s="9" t="s">
        <v>42</v>
      </c>
      <c r="E17" s="9" t="s">
        <v>31</v>
      </c>
      <c r="F17" s="9"/>
      <c r="G17" s="9"/>
      <c r="H17" s="9"/>
    </row>
    <row r="18" spans="1:8" x14ac:dyDescent="0.3">
      <c r="A18" s="9">
        <v>9</v>
      </c>
      <c r="B18" s="13" t="s">
        <v>117</v>
      </c>
      <c r="C18" s="9" t="s">
        <v>3</v>
      </c>
      <c r="D18" s="9" t="s">
        <v>42</v>
      </c>
      <c r="E18" s="9" t="s">
        <v>33</v>
      </c>
      <c r="F18" s="9" t="s">
        <v>46</v>
      </c>
      <c r="G18" s="9"/>
      <c r="H18" s="9"/>
    </row>
    <row r="19" spans="1:8" x14ac:dyDescent="0.3">
      <c r="A19" s="9">
        <v>10</v>
      </c>
      <c r="B19" s="9" t="s">
        <v>119</v>
      </c>
      <c r="C19" s="9" t="s">
        <v>3</v>
      </c>
      <c r="D19" s="9" t="s">
        <v>39</v>
      </c>
      <c r="E19" s="9"/>
      <c r="F19" s="9" t="s">
        <v>47</v>
      </c>
      <c r="G19" s="9"/>
      <c r="H19" s="9"/>
    </row>
    <row r="20" spans="1:8" x14ac:dyDescent="0.3">
      <c r="A20" s="9">
        <v>10</v>
      </c>
      <c r="B20" s="9" t="s">
        <v>119</v>
      </c>
      <c r="C20" s="9" t="s">
        <v>7</v>
      </c>
      <c r="D20" s="9" t="s">
        <v>37</v>
      </c>
      <c r="E20" s="9" t="s">
        <v>48</v>
      </c>
      <c r="F20" s="9"/>
      <c r="G20" s="9"/>
      <c r="H20" s="9"/>
    </row>
    <row r="21" spans="1:8" x14ac:dyDescent="0.3">
      <c r="A21" s="9">
        <v>11</v>
      </c>
      <c r="B21" s="9" t="s">
        <v>120</v>
      </c>
      <c r="C21" s="9" t="s">
        <v>3</v>
      </c>
      <c r="D21" s="9" t="s">
        <v>37</v>
      </c>
      <c r="E21" s="9"/>
      <c r="F21" s="9" t="s">
        <v>45</v>
      </c>
      <c r="G21" s="9"/>
      <c r="H21" s="9"/>
    </row>
    <row r="22" spans="1:8" x14ac:dyDescent="0.3">
      <c r="A22" s="9">
        <v>12</v>
      </c>
      <c r="B22" s="9" t="s">
        <v>122</v>
      </c>
      <c r="C22" s="9" t="s">
        <v>3</v>
      </c>
      <c r="D22" s="9" t="s">
        <v>39</v>
      </c>
      <c r="E22" s="9"/>
      <c r="F22" s="9" t="s">
        <v>49</v>
      </c>
      <c r="G22" s="9"/>
      <c r="H22" s="9"/>
    </row>
    <row r="23" spans="1:8" x14ac:dyDescent="0.3">
      <c r="A23" s="9">
        <v>12</v>
      </c>
      <c r="B23" s="9" t="s">
        <v>122</v>
      </c>
      <c r="C23" s="9" t="s">
        <v>4</v>
      </c>
      <c r="D23" s="9" t="s">
        <v>42</v>
      </c>
      <c r="E23" s="9" t="s">
        <v>33</v>
      </c>
      <c r="F23" s="9" t="s">
        <v>49</v>
      </c>
      <c r="G23" s="9"/>
      <c r="H23" s="9"/>
    </row>
    <row r="24" spans="1:8" x14ac:dyDescent="0.3">
      <c r="A24" s="9">
        <v>12</v>
      </c>
      <c r="B24" s="9" t="s">
        <v>122</v>
      </c>
      <c r="C24" s="9" t="s">
        <v>7</v>
      </c>
      <c r="D24" s="9" t="s">
        <v>44</v>
      </c>
      <c r="E24" s="9"/>
      <c r="F24" s="9"/>
      <c r="G24" s="9"/>
      <c r="H24" s="9"/>
    </row>
    <row r="25" spans="1:8" x14ac:dyDescent="0.3">
      <c r="A25" s="9">
        <v>12</v>
      </c>
      <c r="B25" s="9" t="s">
        <v>122</v>
      </c>
      <c r="C25" s="9" t="s">
        <v>9</v>
      </c>
      <c r="D25" s="9" t="s">
        <v>30</v>
      </c>
      <c r="E25" s="9" t="s">
        <v>50</v>
      </c>
      <c r="F25" s="9"/>
      <c r="G25" s="9"/>
      <c r="H25" s="9"/>
    </row>
    <row r="26" spans="1:8" x14ac:dyDescent="0.3">
      <c r="A26" s="9">
        <v>13</v>
      </c>
      <c r="B26" s="9" t="s">
        <v>123</v>
      </c>
      <c r="C26" s="9" t="s">
        <v>3</v>
      </c>
      <c r="D26" s="9" t="s">
        <v>30</v>
      </c>
      <c r="E26" s="9"/>
      <c r="F26" s="9" t="s">
        <v>41</v>
      </c>
      <c r="G26" s="9"/>
      <c r="H26" s="9"/>
    </row>
    <row r="27" spans="1:8" x14ac:dyDescent="0.3">
      <c r="A27" s="9">
        <v>13</v>
      </c>
      <c r="B27" s="9" t="s">
        <v>123</v>
      </c>
      <c r="C27" s="9" t="s">
        <v>7</v>
      </c>
      <c r="D27" s="9" t="s">
        <v>44</v>
      </c>
      <c r="E27" s="9" t="s">
        <v>31</v>
      </c>
      <c r="F27" s="9"/>
      <c r="G27" s="9"/>
      <c r="H27" s="9"/>
    </row>
    <row r="28" spans="1:8" x14ac:dyDescent="0.3">
      <c r="A28" s="9">
        <v>14</v>
      </c>
      <c r="B28" s="9" t="s">
        <v>124</v>
      </c>
      <c r="C28" s="9" t="s">
        <v>3</v>
      </c>
      <c r="D28" s="9" t="s">
        <v>42</v>
      </c>
      <c r="E28" s="9"/>
      <c r="F28" s="9" t="s">
        <v>51</v>
      </c>
      <c r="G28" s="9"/>
      <c r="H28" s="9"/>
    </row>
    <row r="29" spans="1:8" x14ac:dyDescent="0.3">
      <c r="A29" s="9">
        <v>14</v>
      </c>
      <c r="B29" s="9" t="s">
        <v>124</v>
      </c>
      <c r="C29" s="9" t="s">
        <v>7</v>
      </c>
      <c r="D29" s="9" t="s">
        <v>44</v>
      </c>
      <c r="E29" s="9" t="s">
        <v>31</v>
      </c>
      <c r="F29" s="9"/>
      <c r="G29" s="9"/>
      <c r="H29" s="9"/>
    </row>
    <row r="30" spans="1:8" x14ac:dyDescent="0.3">
      <c r="A30" s="9">
        <v>15</v>
      </c>
      <c r="B30" s="9" t="s">
        <v>126</v>
      </c>
      <c r="C30" s="9" t="s">
        <v>3</v>
      </c>
      <c r="D30" s="9" t="s">
        <v>36</v>
      </c>
      <c r="E30" s="9"/>
      <c r="F30" s="9" t="s">
        <v>51</v>
      </c>
      <c r="G30" s="9"/>
      <c r="H30" s="9"/>
    </row>
    <row r="31" spans="1:8" x14ac:dyDescent="0.3">
      <c r="A31" s="9">
        <v>15</v>
      </c>
      <c r="B31" s="9" t="s">
        <v>126</v>
      </c>
      <c r="C31" s="9" t="s">
        <v>4</v>
      </c>
      <c r="D31" s="9" t="s">
        <v>37</v>
      </c>
      <c r="E31" s="9" t="s">
        <v>33</v>
      </c>
      <c r="F31" s="9" t="s">
        <v>52</v>
      </c>
      <c r="G31" s="9"/>
      <c r="H31" s="9"/>
    </row>
    <row r="32" spans="1:8" x14ac:dyDescent="0.3">
      <c r="A32" s="9">
        <v>15</v>
      </c>
      <c r="B32" s="9" t="s">
        <v>126</v>
      </c>
      <c r="C32" s="9" t="s">
        <v>7</v>
      </c>
      <c r="D32" s="9" t="s">
        <v>44</v>
      </c>
      <c r="E32" s="9"/>
      <c r="F32" s="9"/>
      <c r="G32" s="9"/>
      <c r="H32" s="9"/>
    </row>
    <row r="33" spans="1:8" x14ac:dyDescent="0.3">
      <c r="A33" s="9">
        <v>15</v>
      </c>
      <c r="B33" s="9" t="s">
        <v>126</v>
      </c>
      <c r="C33" s="9" t="s">
        <v>9</v>
      </c>
      <c r="D33" s="9" t="s">
        <v>30</v>
      </c>
      <c r="E33" s="9" t="s">
        <v>48</v>
      </c>
      <c r="F33" s="9"/>
      <c r="G33" s="9"/>
      <c r="H33" s="9"/>
    </row>
    <row r="34" spans="1:8" x14ac:dyDescent="0.3">
      <c r="A34" s="9">
        <v>16</v>
      </c>
      <c r="B34" s="9" t="s">
        <v>127</v>
      </c>
      <c r="C34" s="9" t="s">
        <v>3</v>
      </c>
      <c r="D34" s="9" t="s">
        <v>30</v>
      </c>
      <c r="E34" s="9"/>
      <c r="F34" s="9" t="s">
        <v>53</v>
      </c>
      <c r="G34" s="9"/>
      <c r="H34" s="9"/>
    </row>
    <row r="35" spans="1:8" x14ac:dyDescent="0.3">
      <c r="A35" s="9">
        <v>16</v>
      </c>
      <c r="B35" s="9" t="s">
        <v>127</v>
      </c>
      <c r="C35" s="9" t="s">
        <v>7</v>
      </c>
      <c r="D35" s="9" t="s">
        <v>30</v>
      </c>
      <c r="E35" s="9" t="s">
        <v>33</v>
      </c>
      <c r="F35" s="9"/>
      <c r="G35" s="9"/>
      <c r="H35" s="9"/>
    </row>
    <row r="36" spans="1:8" x14ac:dyDescent="0.3">
      <c r="A36" s="9">
        <v>17</v>
      </c>
      <c r="B36" s="9" t="s">
        <v>128</v>
      </c>
      <c r="C36" s="9" t="s">
        <v>3</v>
      </c>
      <c r="D36" s="9" t="s">
        <v>37</v>
      </c>
      <c r="E36" s="9"/>
      <c r="F36" s="9" t="s">
        <v>53</v>
      </c>
      <c r="G36" s="9"/>
      <c r="H36" s="9"/>
    </row>
    <row r="37" spans="1:8" x14ac:dyDescent="0.3">
      <c r="A37" s="9">
        <v>17</v>
      </c>
      <c r="B37" s="9" t="s">
        <v>128</v>
      </c>
      <c r="C37" s="9" t="s">
        <v>7</v>
      </c>
      <c r="D37" s="9" t="s">
        <v>39</v>
      </c>
      <c r="E37" s="9"/>
      <c r="F37" s="9"/>
      <c r="G37" s="9"/>
      <c r="H37" s="9"/>
    </row>
    <row r="38" spans="1:8" x14ac:dyDescent="0.3">
      <c r="A38" s="9">
        <v>18</v>
      </c>
      <c r="B38" s="9" t="s">
        <v>129</v>
      </c>
      <c r="C38" s="9" t="s">
        <v>3</v>
      </c>
      <c r="D38" s="9" t="s">
        <v>44</v>
      </c>
      <c r="E38" s="9"/>
      <c r="F38" s="9" t="s">
        <v>41</v>
      </c>
      <c r="G38" s="9"/>
      <c r="H38" s="9"/>
    </row>
    <row r="39" spans="1:8" x14ac:dyDescent="0.3">
      <c r="A39" s="9">
        <v>18</v>
      </c>
      <c r="B39" s="9" t="s">
        <v>129</v>
      </c>
      <c r="C39" s="9" t="s">
        <v>7</v>
      </c>
      <c r="D39" s="9" t="s">
        <v>36</v>
      </c>
      <c r="E39" s="9"/>
      <c r="F39" s="9"/>
      <c r="G39" s="9"/>
      <c r="H39" s="9"/>
    </row>
    <row r="40" spans="1:8" x14ac:dyDescent="0.3">
      <c r="A40" s="9">
        <v>18</v>
      </c>
      <c r="B40" s="9" t="s">
        <v>129</v>
      </c>
      <c r="C40" s="9" t="s">
        <v>8</v>
      </c>
      <c r="D40" s="9" t="s">
        <v>37</v>
      </c>
      <c r="E40" s="9" t="s">
        <v>35</v>
      </c>
      <c r="F40" s="9"/>
      <c r="G40" s="9"/>
      <c r="H40" s="9"/>
    </row>
    <row r="41" spans="1:8" x14ac:dyDescent="0.3">
      <c r="A41" s="9">
        <v>19</v>
      </c>
      <c r="B41" s="9" t="s">
        <v>130</v>
      </c>
      <c r="C41" s="9" t="s">
        <v>3</v>
      </c>
      <c r="D41" s="9" t="s">
        <v>30</v>
      </c>
      <c r="E41" s="9"/>
      <c r="F41" s="9" t="s">
        <v>54</v>
      </c>
      <c r="G41" s="9"/>
      <c r="H41" s="9"/>
    </row>
    <row r="42" spans="1:8" x14ac:dyDescent="0.3">
      <c r="A42" s="9">
        <v>20</v>
      </c>
      <c r="B42" s="9" t="s">
        <v>132</v>
      </c>
      <c r="C42" s="9" t="s">
        <v>3</v>
      </c>
      <c r="D42" s="9" t="s">
        <v>36</v>
      </c>
      <c r="E42" s="9" t="s">
        <v>31</v>
      </c>
      <c r="F42" s="9" t="s">
        <v>55</v>
      </c>
      <c r="G42" s="9"/>
      <c r="H42" s="9"/>
    </row>
    <row r="43" spans="1:8" x14ac:dyDescent="0.3">
      <c r="A43" s="9">
        <v>21</v>
      </c>
      <c r="B43" s="9" t="s">
        <v>250</v>
      </c>
      <c r="C43" s="9" t="s">
        <v>3</v>
      </c>
      <c r="D43" s="9" t="s">
        <v>39</v>
      </c>
      <c r="E43" s="9" t="s">
        <v>31</v>
      </c>
      <c r="F43" s="9"/>
      <c r="G43" s="9"/>
      <c r="H43" s="9"/>
    </row>
    <row r="44" spans="1:8" x14ac:dyDescent="0.3">
      <c r="A44" s="9">
        <v>22</v>
      </c>
      <c r="B44" s="9" t="s">
        <v>134</v>
      </c>
      <c r="C44" s="9" t="s">
        <v>3</v>
      </c>
      <c r="D44" s="9" t="s">
        <v>30</v>
      </c>
      <c r="E44" s="9"/>
      <c r="F44" s="9" t="s">
        <v>45</v>
      </c>
      <c r="G44" s="9"/>
      <c r="H44" s="9"/>
    </row>
    <row r="45" spans="1:8" x14ac:dyDescent="0.3">
      <c r="A45" s="9">
        <v>22</v>
      </c>
      <c r="B45" s="9" t="s">
        <v>134</v>
      </c>
      <c r="C45" s="9" t="s">
        <v>7</v>
      </c>
      <c r="D45" s="9" t="s">
        <v>42</v>
      </c>
      <c r="E45" s="9" t="s">
        <v>31</v>
      </c>
      <c r="F45" s="9"/>
      <c r="G45" s="9"/>
      <c r="H45" s="9"/>
    </row>
    <row r="46" spans="1:8" x14ac:dyDescent="0.3">
      <c r="A46" s="9">
        <v>23</v>
      </c>
      <c r="B46" s="9" t="s">
        <v>135</v>
      </c>
      <c r="C46" s="9" t="s">
        <v>3</v>
      </c>
      <c r="D46" s="9" t="s">
        <v>39</v>
      </c>
      <c r="E46" s="9"/>
      <c r="F46" s="9" t="s">
        <v>54</v>
      </c>
      <c r="G46" s="9"/>
      <c r="H46" s="9"/>
    </row>
    <row r="47" spans="1:8" x14ac:dyDescent="0.3">
      <c r="A47" s="9">
        <v>23</v>
      </c>
      <c r="B47" s="9" t="s">
        <v>135</v>
      </c>
      <c r="C47" s="9" t="s">
        <v>9</v>
      </c>
      <c r="D47" s="9" t="s">
        <v>36</v>
      </c>
      <c r="E47" s="9" t="s">
        <v>31</v>
      </c>
      <c r="F47" s="9"/>
      <c r="G47" s="9"/>
      <c r="H47" s="9"/>
    </row>
    <row r="48" spans="1:8" x14ac:dyDescent="0.3">
      <c r="A48" s="9">
        <v>24</v>
      </c>
      <c r="B48" s="9" t="s">
        <v>136</v>
      </c>
      <c r="C48" s="9" t="s">
        <v>3</v>
      </c>
      <c r="D48" s="9" t="s">
        <v>44</v>
      </c>
      <c r="E48" s="9" t="s">
        <v>31</v>
      </c>
      <c r="F48" s="9" t="s">
        <v>56</v>
      </c>
      <c r="G48" s="9"/>
      <c r="H48" s="9"/>
    </row>
    <row r="49" spans="1:8" x14ac:dyDescent="0.3">
      <c r="A49" s="9">
        <v>26</v>
      </c>
      <c r="B49" s="9" t="s">
        <v>139</v>
      </c>
      <c r="C49" s="9" t="s">
        <v>3</v>
      </c>
      <c r="D49" s="9" t="s">
        <v>39</v>
      </c>
      <c r="E49" s="9"/>
      <c r="F49" s="9" t="s">
        <v>53</v>
      </c>
      <c r="G49" s="9"/>
      <c r="H49" s="9"/>
    </row>
    <row r="50" spans="1:8" x14ac:dyDescent="0.3">
      <c r="A50" s="9">
        <v>26</v>
      </c>
      <c r="B50" s="9" t="s">
        <v>139</v>
      </c>
      <c r="C50" s="9" t="s">
        <v>7</v>
      </c>
      <c r="D50" s="9" t="s">
        <v>37</v>
      </c>
      <c r="E50" s="9" t="s">
        <v>33</v>
      </c>
      <c r="F50" s="9"/>
      <c r="G50" s="9"/>
      <c r="H50" s="9"/>
    </row>
    <row r="51" spans="1:8" x14ac:dyDescent="0.3">
      <c r="A51" s="9">
        <v>27</v>
      </c>
      <c r="B51" s="9" t="s">
        <v>140</v>
      </c>
      <c r="C51" s="9" t="s">
        <v>3</v>
      </c>
      <c r="D51" s="9" t="s">
        <v>30</v>
      </c>
      <c r="E51" s="9"/>
      <c r="F51" s="9" t="s">
        <v>55</v>
      </c>
      <c r="G51" s="9"/>
      <c r="H51" s="9"/>
    </row>
    <row r="52" spans="1:8" x14ac:dyDescent="0.3">
      <c r="A52" s="9">
        <v>27</v>
      </c>
      <c r="B52" s="9" t="s">
        <v>140</v>
      </c>
      <c r="C52" s="9" t="s">
        <v>7</v>
      </c>
      <c r="D52" s="9" t="s">
        <v>42</v>
      </c>
      <c r="E52" s="9" t="s">
        <v>31</v>
      </c>
      <c r="F52" s="9"/>
      <c r="G52" s="9"/>
      <c r="H52" s="9"/>
    </row>
    <row r="53" spans="1:8" x14ac:dyDescent="0.3">
      <c r="A53" s="9">
        <v>28</v>
      </c>
      <c r="B53" s="9" t="s">
        <v>142</v>
      </c>
      <c r="C53" s="9" t="s">
        <v>3</v>
      </c>
      <c r="D53" s="9" t="s">
        <v>42</v>
      </c>
      <c r="E53" s="9"/>
      <c r="F53" s="9" t="s">
        <v>40</v>
      </c>
      <c r="G53" s="9"/>
      <c r="H53" s="9"/>
    </row>
    <row r="54" spans="1:8" x14ac:dyDescent="0.3">
      <c r="A54" s="9">
        <v>28</v>
      </c>
      <c r="B54" s="9" t="s">
        <v>142</v>
      </c>
      <c r="C54" s="9" t="s">
        <v>7</v>
      </c>
      <c r="D54" s="9" t="s">
        <v>37</v>
      </c>
      <c r="E54" s="9" t="s">
        <v>31</v>
      </c>
      <c r="F54" s="9"/>
      <c r="G54" s="9"/>
      <c r="H54" s="9"/>
    </row>
    <row r="55" spans="1:8" x14ac:dyDescent="0.3">
      <c r="A55" s="9">
        <v>28</v>
      </c>
      <c r="B55" s="9" t="s">
        <v>142</v>
      </c>
      <c r="C55" s="9" t="s">
        <v>9</v>
      </c>
      <c r="D55" s="9" t="s">
        <v>44</v>
      </c>
      <c r="E55" s="9" t="s">
        <v>35</v>
      </c>
      <c r="F55" s="9"/>
      <c r="G55" s="9"/>
      <c r="H55" s="9"/>
    </row>
    <row r="56" spans="1:8" x14ac:dyDescent="0.3">
      <c r="A56" s="9">
        <v>29</v>
      </c>
      <c r="B56" s="9" t="s">
        <v>143</v>
      </c>
      <c r="C56" s="9" t="s">
        <v>3</v>
      </c>
      <c r="D56" s="9" t="s">
        <v>42</v>
      </c>
      <c r="E56" s="9"/>
      <c r="F56" s="9" t="s">
        <v>32</v>
      </c>
      <c r="G56" s="9"/>
      <c r="H56" s="9"/>
    </row>
    <row r="57" spans="1:8" x14ac:dyDescent="0.3">
      <c r="A57" s="9">
        <v>29</v>
      </c>
      <c r="B57" s="9" t="s">
        <v>143</v>
      </c>
      <c r="C57" s="9" t="s">
        <v>4</v>
      </c>
      <c r="D57" s="9" t="s">
        <v>44</v>
      </c>
      <c r="E57" s="9" t="s">
        <v>33</v>
      </c>
      <c r="F57" s="9" t="s">
        <v>49</v>
      </c>
      <c r="G57" s="9"/>
      <c r="H57" s="9"/>
    </row>
    <row r="58" spans="1:8" x14ac:dyDescent="0.3">
      <c r="A58" s="9">
        <v>29</v>
      </c>
      <c r="B58" s="9" t="s">
        <v>143</v>
      </c>
      <c r="C58" s="9" t="s">
        <v>7</v>
      </c>
      <c r="D58" s="9" t="s">
        <v>37</v>
      </c>
      <c r="E58" s="9"/>
      <c r="F58" s="9"/>
      <c r="G58" s="9"/>
      <c r="H58" s="9"/>
    </row>
    <row r="59" spans="1:8" x14ac:dyDescent="0.3">
      <c r="A59" s="9">
        <v>29</v>
      </c>
      <c r="B59" s="9" t="s">
        <v>143</v>
      </c>
      <c r="C59" s="9" t="s">
        <v>9</v>
      </c>
      <c r="D59" s="9" t="s">
        <v>36</v>
      </c>
      <c r="E59" s="9" t="s">
        <v>50</v>
      </c>
      <c r="F59" s="9"/>
      <c r="G59" s="9"/>
      <c r="H59" s="9"/>
    </row>
    <row r="60" spans="1:8" x14ac:dyDescent="0.3">
      <c r="A60" s="9">
        <v>30</v>
      </c>
      <c r="B60" s="9" t="s">
        <v>251</v>
      </c>
      <c r="C60" s="9" t="s">
        <v>3</v>
      </c>
      <c r="D60" s="9" t="s">
        <v>42</v>
      </c>
      <c r="E60" s="9" t="s">
        <v>31</v>
      </c>
      <c r="F60" s="9" t="s">
        <v>46</v>
      </c>
      <c r="G60" s="9"/>
      <c r="H60" s="9"/>
    </row>
    <row r="61" spans="1:8" x14ac:dyDescent="0.3">
      <c r="A61" s="9">
        <v>30</v>
      </c>
      <c r="B61" s="9" t="s">
        <v>251</v>
      </c>
      <c r="C61" s="9" t="s">
        <v>7</v>
      </c>
      <c r="D61" s="9" t="s">
        <v>37</v>
      </c>
      <c r="E61" s="9" t="s">
        <v>31</v>
      </c>
      <c r="F61" s="9"/>
      <c r="G61" s="9"/>
      <c r="H61" s="9"/>
    </row>
    <row r="62" spans="1:8" x14ac:dyDescent="0.3">
      <c r="A62" s="9">
        <v>31</v>
      </c>
      <c r="B62" s="9" t="s">
        <v>146</v>
      </c>
      <c r="C62" s="9" t="s">
        <v>3</v>
      </c>
      <c r="D62" s="9" t="s">
        <v>36</v>
      </c>
      <c r="E62" s="9"/>
      <c r="F62" s="9" t="s">
        <v>49</v>
      </c>
      <c r="G62" s="9"/>
      <c r="H62" s="9"/>
    </row>
    <row r="63" spans="1:8" x14ac:dyDescent="0.3">
      <c r="A63" s="9">
        <v>31</v>
      </c>
      <c r="B63" s="9" t="s">
        <v>146</v>
      </c>
      <c r="C63" s="9" t="s">
        <v>7</v>
      </c>
      <c r="D63" s="9" t="s">
        <v>39</v>
      </c>
      <c r="E63" s="9"/>
      <c r="F63" s="9"/>
      <c r="G63" s="9"/>
      <c r="H63" s="9"/>
    </row>
    <row r="64" spans="1:8" x14ac:dyDescent="0.3">
      <c r="A64" s="9">
        <v>31</v>
      </c>
      <c r="B64" s="9" t="s">
        <v>146</v>
      </c>
      <c r="C64" s="9" t="s">
        <v>9</v>
      </c>
      <c r="D64" s="9" t="s">
        <v>44</v>
      </c>
      <c r="E64" s="9" t="s">
        <v>48</v>
      </c>
      <c r="F64" s="9"/>
      <c r="G64" s="9"/>
      <c r="H64" s="9"/>
    </row>
    <row r="65" spans="1:8" x14ac:dyDescent="0.3">
      <c r="A65" s="9">
        <v>32</v>
      </c>
      <c r="B65" s="9" t="s">
        <v>147</v>
      </c>
      <c r="C65" s="9" t="s">
        <v>3</v>
      </c>
      <c r="D65" s="9" t="s">
        <v>37</v>
      </c>
      <c r="E65" s="9"/>
      <c r="F65" s="9" t="s">
        <v>57</v>
      </c>
      <c r="G65" s="9"/>
      <c r="H65" s="9"/>
    </row>
    <row r="66" spans="1:8" x14ac:dyDescent="0.3">
      <c r="A66" s="9">
        <v>32</v>
      </c>
      <c r="B66" s="9" t="s">
        <v>147</v>
      </c>
      <c r="C66" s="9" t="s">
        <v>7</v>
      </c>
      <c r="D66" s="9" t="s">
        <v>42</v>
      </c>
      <c r="E66" s="9" t="s">
        <v>35</v>
      </c>
      <c r="F66" s="9"/>
      <c r="G66" s="9"/>
      <c r="H66" s="9"/>
    </row>
    <row r="67" spans="1:8" x14ac:dyDescent="0.3">
      <c r="A67" s="9">
        <v>33</v>
      </c>
      <c r="B67" s="9" t="s">
        <v>149</v>
      </c>
      <c r="C67" s="9" t="s">
        <v>3</v>
      </c>
      <c r="D67" s="9" t="s">
        <v>39</v>
      </c>
      <c r="E67" s="9"/>
      <c r="F67" s="9" t="s">
        <v>46</v>
      </c>
      <c r="G67" s="9"/>
      <c r="H67" s="9"/>
    </row>
    <row r="68" spans="1:8" x14ac:dyDescent="0.3">
      <c r="A68" s="9">
        <v>33</v>
      </c>
      <c r="B68" s="9" t="s">
        <v>149</v>
      </c>
      <c r="C68" s="9" t="s">
        <v>7</v>
      </c>
      <c r="D68" s="9" t="s">
        <v>39</v>
      </c>
      <c r="E68" s="9" t="s">
        <v>31</v>
      </c>
      <c r="F68" s="9"/>
      <c r="G68" s="9"/>
      <c r="H68" s="9"/>
    </row>
    <row r="69" spans="1:8" x14ac:dyDescent="0.3">
      <c r="A69" s="9">
        <v>34</v>
      </c>
      <c r="B69" s="9" t="s">
        <v>151</v>
      </c>
      <c r="C69" s="9" t="s">
        <v>3</v>
      </c>
      <c r="D69" s="9" t="s">
        <v>30</v>
      </c>
      <c r="E69" s="9"/>
      <c r="F69" s="9" t="s">
        <v>58</v>
      </c>
      <c r="G69" s="9"/>
      <c r="H69" s="9"/>
    </row>
    <row r="70" spans="1:8" x14ac:dyDescent="0.3">
      <c r="A70" s="9">
        <v>34</v>
      </c>
      <c r="B70" s="9" t="s">
        <v>151</v>
      </c>
      <c r="C70" s="9" t="s">
        <v>4</v>
      </c>
      <c r="D70" s="9" t="s">
        <v>39</v>
      </c>
      <c r="E70" s="9" t="s">
        <v>31</v>
      </c>
      <c r="F70" s="9" t="s">
        <v>53</v>
      </c>
      <c r="G70" s="9"/>
      <c r="H70" s="9"/>
    </row>
    <row r="71" spans="1:8" x14ac:dyDescent="0.3">
      <c r="A71" s="9">
        <v>34</v>
      </c>
      <c r="B71" s="9" t="s">
        <v>151</v>
      </c>
      <c r="C71" s="9" t="s">
        <v>7</v>
      </c>
      <c r="D71" s="9" t="s">
        <v>36</v>
      </c>
      <c r="E71" s="9" t="s">
        <v>59</v>
      </c>
      <c r="F71" s="9"/>
      <c r="G71" s="9"/>
      <c r="H71" s="9"/>
    </row>
    <row r="72" spans="1:8" x14ac:dyDescent="0.3">
      <c r="A72" s="9">
        <v>34</v>
      </c>
      <c r="B72" s="9" t="s">
        <v>151</v>
      </c>
      <c r="C72" s="9" t="s">
        <v>9</v>
      </c>
      <c r="D72" s="9" t="s">
        <v>42</v>
      </c>
      <c r="E72" s="9" t="s">
        <v>50</v>
      </c>
      <c r="F72" s="9"/>
      <c r="G72" s="9"/>
      <c r="H72" s="9"/>
    </row>
    <row r="73" spans="1:8" x14ac:dyDescent="0.3">
      <c r="A73" s="9">
        <v>35</v>
      </c>
      <c r="B73" s="9" t="s">
        <v>153</v>
      </c>
      <c r="C73" s="9" t="s">
        <v>3</v>
      </c>
      <c r="D73" s="9" t="s">
        <v>39</v>
      </c>
      <c r="E73" s="9" t="s">
        <v>33</v>
      </c>
      <c r="F73" s="9" t="s">
        <v>45</v>
      </c>
      <c r="G73" s="9"/>
      <c r="H73" s="9"/>
    </row>
    <row r="74" spans="1:8" x14ac:dyDescent="0.3">
      <c r="A74" s="9">
        <v>35</v>
      </c>
      <c r="B74" s="9" t="s">
        <v>153</v>
      </c>
      <c r="C74" s="9" t="s">
        <v>6</v>
      </c>
      <c r="D74" s="9" t="s">
        <v>60</v>
      </c>
      <c r="E74" s="9" t="s">
        <v>35</v>
      </c>
      <c r="F74" s="9"/>
      <c r="G74" s="9"/>
      <c r="H74" s="9"/>
    </row>
    <row r="75" spans="1:8" x14ac:dyDescent="0.3">
      <c r="A75" s="9">
        <v>35</v>
      </c>
      <c r="B75" s="9" t="s">
        <v>153</v>
      </c>
      <c r="C75" s="9" t="s">
        <v>7</v>
      </c>
      <c r="D75" s="9" t="s">
        <v>37</v>
      </c>
      <c r="E75" s="9"/>
      <c r="F75" s="9"/>
      <c r="G75" s="9"/>
      <c r="H75" s="9"/>
    </row>
    <row r="76" spans="1:8" x14ac:dyDescent="0.3">
      <c r="A76" s="9">
        <v>35</v>
      </c>
      <c r="B76" s="9" t="s">
        <v>153</v>
      </c>
      <c r="C76" s="9" t="s">
        <v>9</v>
      </c>
      <c r="D76" s="9" t="s">
        <v>30</v>
      </c>
      <c r="E76" s="9" t="s">
        <v>61</v>
      </c>
      <c r="F76" s="9"/>
      <c r="G76" s="9"/>
      <c r="H76" s="9"/>
    </row>
    <row r="77" spans="1:8" x14ac:dyDescent="0.3">
      <c r="A77" s="9">
        <v>36</v>
      </c>
      <c r="B77" s="9" t="s">
        <v>154</v>
      </c>
      <c r="C77" s="9" t="s">
        <v>3</v>
      </c>
      <c r="D77" s="9" t="s">
        <v>39</v>
      </c>
      <c r="E77" s="9"/>
      <c r="F77" s="9" t="s">
        <v>57</v>
      </c>
      <c r="G77" s="9"/>
      <c r="H77" s="9"/>
    </row>
    <row r="78" spans="1:8" x14ac:dyDescent="0.3">
      <c r="A78" s="9">
        <v>36</v>
      </c>
      <c r="B78" s="9" t="s">
        <v>154</v>
      </c>
      <c r="C78" s="9" t="s">
        <v>7</v>
      </c>
      <c r="D78" s="9" t="s">
        <v>44</v>
      </c>
      <c r="E78" s="9"/>
      <c r="F78" s="9"/>
      <c r="G78" s="9"/>
      <c r="H78" s="9"/>
    </row>
    <row r="79" spans="1:8" x14ac:dyDescent="0.3">
      <c r="A79" s="9">
        <v>37</v>
      </c>
      <c r="B79" s="9" t="s">
        <v>155</v>
      </c>
      <c r="C79" s="9" t="s">
        <v>3</v>
      </c>
      <c r="D79" s="9" t="s">
        <v>39</v>
      </c>
      <c r="E79" s="9"/>
      <c r="F79" s="9" t="s">
        <v>40</v>
      </c>
      <c r="G79" s="9"/>
      <c r="H79" s="9"/>
    </row>
    <row r="80" spans="1:8" x14ac:dyDescent="0.3">
      <c r="A80" s="9">
        <v>37</v>
      </c>
      <c r="B80" s="9" t="s">
        <v>155</v>
      </c>
      <c r="C80" s="9" t="s">
        <v>6</v>
      </c>
      <c r="D80" s="9" t="s">
        <v>60</v>
      </c>
      <c r="E80" s="9" t="s">
        <v>35</v>
      </c>
      <c r="F80" s="9"/>
      <c r="G80" s="9"/>
      <c r="H80" s="9"/>
    </row>
    <row r="81" spans="1:8" x14ac:dyDescent="0.3">
      <c r="A81" s="9">
        <v>37</v>
      </c>
      <c r="B81" s="9" t="s">
        <v>155</v>
      </c>
      <c r="C81" s="9" t="s">
        <v>7</v>
      </c>
      <c r="D81" s="9" t="s">
        <v>36</v>
      </c>
      <c r="E81" s="9"/>
      <c r="F81" s="9"/>
      <c r="G81" s="9"/>
      <c r="H81" s="9"/>
    </row>
    <row r="82" spans="1:8" x14ac:dyDescent="0.3">
      <c r="A82" s="9">
        <v>38</v>
      </c>
      <c r="B82" s="9" t="s">
        <v>157</v>
      </c>
      <c r="C82" s="9" t="s">
        <v>3</v>
      </c>
      <c r="D82" s="9" t="s">
        <v>42</v>
      </c>
      <c r="E82" s="9"/>
      <c r="F82" s="9" t="s">
        <v>43</v>
      </c>
      <c r="G82" s="9"/>
      <c r="H82" s="9"/>
    </row>
    <row r="83" spans="1:8" x14ac:dyDescent="0.3">
      <c r="A83" s="9">
        <v>38</v>
      </c>
      <c r="B83" s="9" t="s">
        <v>157</v>
      </c>
      <c r="C83" s="9" t="s">
        <v>7</v>
      </c>
      <c r="D83" s="9" t="s">
        <v>36</v>
      </c>
      <c r="E83" s="9"/>
      <c r="F83" s="9"/>
      <c r="G83" s="9"/>
      <c r="H83" s="9"/>
    </row>
    <row r="84" spans="1:8" x14ac:dyDescent="0.3">
      <c r="A84" s="9">
        <v>39</v>
      </c>
      <c r="B84" s="9" t="s">
        <v>159</v>
      </c>
      <c r="C84" s="9" t="s">
        <v>3</v>
      </c>
      <c r="D84" s="9" t="s">
        <v>37</v>
      </c>
      <c r="E84" s="9"/>
      <c r="F84" s="9" t="s">
        <v>62</v>
      </c>
      <c r="G84" s="9"/>
      <c r="H84" s="9"/>
    </row>
    <row r="85" spans="1:8" x14ac:dyDescent="0.3">
      <c r="A85" s="9">
        <v>39</v>
      </c>
      <c r="B85" s="9" t="s">
        <v>159</v>
      </c>
      <c r="C85" s="9" t="s">
        <v>7</v>
      </c>
      <c r="D85" s="9" t="s">
        <v>36</v>
      </c>
      <c r="E85" s="9" t="s">
        <v>33</v>
      </c>
      <c r="F85" s="9"/>
      <c r="G85" s="9"/>
      <c r="H85" s="9"/>
    </row>
    <row r="86" spans="1:8" x14ac:dyDescent="0.3">
      <c r="A86" s="9">
        <v>39</v>
      </c>
      <c r="B86" s="9" t="s">
        <v>159</v>
      </c>
      <c r="C86" s="9" t="s">
        <v>8</v>
      </c>
      <c r="D86" s="9" t="s">
        <v>42</v>
      </c>
      <c r="E86" s="9" t="s">
        <v>63</v>
      </c>
      <c r="F86" s="9"/>
      <c r="G86" s="9"/>
      <c r="H86" s="9"/>
    </row>
    <row r="87" spans="1:8" x14ac:dyDescent="0.3">
      <c r="A87" s="9">
        <v>40</v>
      </c>
      <c r="B87" s="9" t="s">
        <v>160</v>
      </c>
      <c r="C87" s="9" t="s">
        <v>3</v>
      </c>
      <c r="D87" s="9" t="s">
        <v>44</v>
      </c>
      <c r="E87" s="9"/>
      <c r="F87" s="9" t="s">
        <v>53</v>
      </c>
      <c r="G87" s="9"/>
      <c r="H87" s="9"/>
    </row>
    <row r="88" spans="1:8" x14ac:dyDescent="0.3">
      <c r="A88" s="9">
        <v>40</v>
      </c>
      <c r="B88" s="9" t="s">
        <v>160</v>
      </c>
      <c r="C88" s="9" t="s">
        <v>7</v>
      </c>
      <c r="D88" s="9"/>
      <c r="E88" s="9"/>
      <c r="F88" s="9"/>
      <c r="G88" s="9"/>
      <c r="H88" s="9"/>
    </row>
    <row r="89" spans="1:8" x14ac:dyDescent="0.3">
      <c r="A89" s="9">
        <v>41</v>
      </c>
      <c r="B89" s="9" t="s">
        <v>252</v>
      </c>
      <c r="C89" s="9" t="s">
        <v>3</v>
      </c>
      <c r="D89" s="9" t="s">
        <v>39</v>
      </c>
      <c r="E89" s="9" t="s">
        <v>31</v>
      </c>
      <c r="F89" s="9" t="s">
        <v>54</v>
      </c>
      <c r="G89" s="9"/>
      <c r="H89" s="9"/>
    </row>
    <row r="90" spans="1:8" x14ac:dyDescent="0.3">
      <c r="A90" s="9">
        <v>41</v>
      </c>
      <c r="B90" s="9" t="s">
        <v>252</v>
      </c>
      <c r="C90" s="9" t="s">
        <v>7</v>
      </c>
      <c r="D90" s="9" t="s">
        <v>42</v>
      </c>
      <c r="E90" s="9" t="s">
        <v>33</v>
      </c>
      <c r="F90" s="9"/>
      <c r="G90" s="9"/>
      <c r="H90" s="9"/>
    </row>
    <row r="91" spans="1:8" x14ac:dyDescent="0.3">
      <c r="A91" s="9">
        <v>42</v>
      </c>
      <c r="B91" s="9" t="s">
        <v>163</v>
      </c>
      <c r="C91" s="9" t="s">
        <v>3</v>
      </c>
      <c r="D91" s="9" t="s">
        <v>39</v>
      </c>
      <c r="E91" s="9"/>
      <c r="F91" s="9" t="s">
        <v>41</v>
      </c>
      <c r="G91" s="9"/>
      <c r="H91" s="9"/>
    </row>
    <row r="92" spans="1:8" x14ac:dyDescent="0.3">
      <c r="A92" s="9">
        <v>42</v>
      </c>
      <c r="B92" s="9" t="s">
        <v>163</v>
      </c>
      <c r="C92" s="9" t="s">
        <v>7</v>
      </c>
      <c r="D92" s="9" t="s">
        <v>36</v>
      </c>
      <c r="E92" s="9" t="s">
        <v>64</v>
      </c>
      <c r="F92" s="9"/>
      <c r="G92" s="9"/>
      <c r="H92" s="9"/>
    </row>
    <row r="93" spans="1:8" x14ac:dyDescent="0.3">
      <c r="A93" s="9">
        <v>43</v>
      </c>
      <c r="B93" s="9" t="s">
        <v>164</v>
      </c>
      <c r="C93" s="9" t="s">
        <v>3</v>
      </c>
      <c r="D93" s="9" t="s">
        <v>44</v>
      </c>
      <c r="E93" s="9" t="s">
        <v>33</v>
      </c>
      <c r="F93" s="9" t="s">
        <v>56</v>
      </c>
      <c r="G93" s="9"/>
      <c r="H93" s="9"/>
    </row>
    <row r="94" spans="1:8" x14ac:dyDescent="0.3">
      <c r="A94" s="9">
        <v>43</v>
      </c>
      <c r="B94" s="9" t="s">
        <v>164</v>
      </c>
      <c r="C94" s="9" t="s">
        <v>6</v>
      </c>
      <c r="D94" s="9" t="s">
        <v>65</v>
      </c>
      <c r="E94" s="9" t="s">
        <v>35</v>
      </c>
      <c r="F94" s="9"/>
      <c r="G94" s="9"/>
      <c r="H94" s="9"/>
    </row>
    <row r="95" spans="1:8" x14ac:dyDescent="0.3">
      <c r="A95" s="9">
        <v>44</v>
      </c>
      <c r="B95" s="9" t="s">
        <v>253</v>
      </c>
      <c r="C95" s="9" t="s">
        <v>3</v>
      </c>
      <c r="D95" s="9" t="s">
        <v>42</v>
      </c>
      <c r="E95" s="9"/>
      <c r="F95" s="9" t="s">
        <v>53</v>
      </c>
      <c r="G95" s="9"/>
      <c r="H95" s="9"/>
    </row>
    <row r="96" spans="1:8" x14ac:dyDescent="0.3">
      <c r="A96" s="9">
        <v>44</v>
      </c>
      <c r="B96" s="9" t="s">
        <v>253</v>
      </c>
      <c r="C96" s="9" t="s">
        <v>7</v>
      </c>
      <c r="D96" s="9" t="s">
        <v>44</v>
      </c>
      <c r="E96" s="9" t="s">
        <v>66</v>
      </c>
      <c r="F96" s="9"/>
      <c r="G96" s="9"/>
      <c r="H96" s="9"/>
    </row>
    <row r="97" spans="1:8" x14ac:dyDescent="0.3">
      <c r="A97" s="9">
        <v>44</v>
      </c>
      <c r="B97" s="9" t="s">
        <v>253</v>
      </c>
      <c r="C97" s="9" t="s">
        <v>8</v>
      </c>
      <c r="D97" s="9" t="s">
        <v>37</v>
      </c>
      <c r="E97" s="9"/>
      <c r="F97" s="9"/>
      <c r="G97" s="9"/>
      <c r="H97" s="9"/>
    </row>
    <row r="98" spans="1:8" x14ac:dyDescent="0.3">
      <c r="A98" s="9">
        <v>45</v>
      </c>
      <c r="B98" s="9" t="s">
        <v>167</v>
      </c>
      <c r="C98" s="9" t="s">
        <v>3</v>
      </c>
      <c r="D98" s="9" t="s">
        <v>36</v>
      </c>
      <c r="E98" s="9"/>
      <c r="F98" s="9" t="s">
        <v>40</v>
      </c>
      <c r="G98" s="9"/>
      <c r="H98" s="9"/>
    </row>
    <row r="99" spans="1:8" x14ac:dyDescent="0.3">
      <c r="A99" s="9">
        <v>45</v>
      </c>
      <c r="B99" s="9" t="s">
        <v>167</v>
      </c>
      <c r="C99" s="9" t="s">
        <v>7</v>
      </c>
      <c r="D99" s="9" t="s">
        <v>39</v>
      </c>
      <c r="E99" s="9"/>
      <c r="F99" s="9"/>
      <c r="G99" s="9"/>
      <c r="H99" s="9"/>
    </row>
    <row r="100" spans="1:8" x14ac:dyDescent="0.3">
      <c r="A100" s="9">
        <v>45</v>
      </c>
      <c r="B100" s="9" t="s">
        <v>167</v>
      </c>
      <c r="C100" s="9" t="s">
        <v>8</v>
      </c>
      <c r="D100" s="9" t="s">
        <v>44</v>
      </c>
      <c r="E100" s="9" t="s">
        <v>67</v>
      </c>
      <c r="F100" s="9"/>
      <c r="G100" s="9"/>
      <c r="H100" s="9"/>
    </row>
    <row r="101" spans="1:8" x14ac:dyDescent="0.3">
      <c r="A101" s="9">
        <v>46</v>
      </c>
      <c r="B101" s="9" t="s">
        <v>168</v>
      </c>
      <c r="C101" s="9" t="s">
        <v>3</v>
      </c>
      <c r="D101" s="9" t="s">
        <v>36</v>
      </c>
      <c r="E101" s="9" t="s">
        <v>33</v>
      </c>
      <c r="F101" s="9" t="s">
        <v>56</v>
      </c>
      <c r="G101" s="9"/>
      <c r="H101" s="9"/>
    </row>
    <row r="102" spans="1:8" x14ac:dyDescent="0.3">
      <c r="A102" s="9">
        <v>46</v>
      </c>
      <c r="B102" s="9" t="s">
        <v>168</v>
      </c>
      <c r="C102" s="9" t="s">
        <v>7</v>
      </c>
      <c r="D102" s="9" t="s">
        <v>36</v>
      </c>
      <c r="E102" s="9" t="s">
        <v>31</v>
      </c>
      <c r="F102" s="9"/>
      <c r="G102" s="9"/>
      <c r="H102" s="9"/>
    </row>
    <row r="103" spans="1:8" x14ac:dyDescent="0.3">
      <c r="A103" s="9">
        <v>47</v>
      </c>
      <c r="B103" s="9" t="s">
        <v>169</v>
      </c>
      <c r="C103" s="9" t="s">
        <v>3</v>
      </c>
      <c r="D103" s="9" t="s">
        <v>30</v>
      </c>
      <c r="E103" s="9"/>
      <c r="F103" s="9" t="s">
        <v>47</v>
      </c>
      <c r="G103" s="9"/>
      <c r="H103" s="9"/>
    </row>
    <row r="104" spans="1:8" x14ac:dyDescent="0.3">
      <c r="A104" s="9">
        <v>47</v>
      </c>
      <c r="B104" s="9" t="s">
        <v>169</v>
      </c>
      <c r="C104" s="9" t="s">
        <v>7</v>
      </c>
      <c r="D104" s="9" t="s">
        <v>42</v>
      </c>
      <c r="E104" s="9" t="s">
        <v>68</v>
      </c>
      <c r="F104" s="9"/>
      <c r="G104" s="9"/>
      <c r="H104" s="9"/>
    </row>
    <row r="105" spans="1:8" x14ac:dyDescent="0.3">
      <c r="A105" s="9">
        <v>47</v>
      </c>
      <c r="B105" s="9" t="s">
        <v>169</v>
      </c>
      <c r="C105" s="9" t="s">
        <v>8</v>
      </c>
      <c r="D105" s="9" t="s">
        <v>42</v>
      </c>
      <c r="E105" s="9" t="s">
        <v>69</v>
      </c>
      <c r="F105" s="9"/>
      <c r="G105" s="9"/>
      <c r="H105" s="9"/>
    </row>
    <row r="106" spans="1:8" x14ac:dyDescent="0.3">
      <c r="A106" s="9">
        <v>48</v>
      </c>
      <c r="B106" s="9" t="s">
        <v>171</v>
      </c>
      <c r="C106" s="9" t="s">
        <v>3</v>
      </c>
      <c r="D106" s="9" t="s">
        <v>42</v>
      </c>
      <c r="E106" s="9"/>
      <c r="F106" s="9" t="s">
        <v>54</v>
      </c>
      <c r="G106" s="9"/>
      <c r="H106" s="9"/>
    </row>
    <row r="107" spans="1:8" x14ac:dyDescent="0.3">
      <c r="A107" s="9">
        <v>48</v>
      </c>
      <c r="B107" s="9" t="s">
        <v>171</v>
      </c>
      <c r="C107" s="9" t="s">
        <v>7</v>
      </c>
      <c r="D107" s="9" t="s">
        <v>37</v>
      </c>
      <c r="E107" s="9"/>
      <c r="F107" s="9"/>
      <c r="G107" s="9"/>
      <c r="H107" s="9"/>
    </row>
    <row r="108" spans="1:8" x14ac:dyDescent="0.3">
      <c r="A108" s="9">
        <v>48</v>
      </c>
      <c r="B108" s="9" t="s">
        <v>171</v>
      </c>
      <c r="C108" s="9" t="s">
        <v>8</v>
      </c>
      <c r="D108" s="9" t="s">
        <v>39</v>
      </c>
      <c r="E108" s="9" t="s">
        <v>70</v>
      </c>
      <c r="F108" s="9"/>
      <c r="G108" s="9"/>
      <c r="H108" s="9"/>
    </row>
    <row r="109" spans="1:8" x14ac:dyDescent="0.3">
      <c r="A109" s="9">
        <v>49</v>
      </c>
      <c r="B109" s="9" t="s">
        <v>172</v>
      </c>
      <c r="C109" s="9" t="s">
        <v>3</v>
      </c>
      <c r="D109" s="9" t="s">
        <v>37</v>
      </c>
      <c r="E109" s="9"/>
      <c r="F109" s="9" t="s">
        <v>56</v>
      </c>
      <c r="G109" s="9"/>
      <c r="H109" s="9"/>
    </row>
    <row r="110" spans="1:8" x14ac:dyDescent="0.3">
      <c r="A110" s="9">
        <v>49</v>
      </c>
      <c r="B110" s="9" t="s">
        <v>172</v>
      </c>
      <c r="C110" s="9" t="s">
        <v>4</v>
      </c>
      <c r="D110" s="9" t="s">
        <v>44</v>
      </c>
      <c r="E110" s="9" t="s">
        <v>31</v>
      </c>
      <c r="F110" s="9"/>
      <c r="G110" s="9"/>
      <c r="H110" s="9"/>
    </row>
    <row r="111" spans="1:8" x14ac:dyDescent="0.3">
      <c r="A111" s="9">
        <v>49</v>
      </c>
      <c r="B111" s="9" t="s">
        <v>172</v>
      </c>
      <c r="C111" s="9" t="s">
        <v>6</v>
      </c>
      <c r="D111" s="9" t="s">
        <v>42</v>
      </c>
      <c r="E111" s="9" t="s">
        <v>35</v>
      </c>
      <c r="F111" s="9"/>
      <c r="G111" s="9"/>
      <c r="H111" s="9"/>
    </row>
    <row r="112" spans="1:8" x14ac:dyDescent="0.3">
      <c r="A112" s="9">
        <v>49</v>
      </c>
      <c r="B112" s="9" t="s">
        <v>172</v>
      </c>
      <c r="C112" s="9" t="s">
        <v>7</v>
      </c>
      <c r="D112" s="9" t="s">
        <v>36</v>
      </c>
      <c r="E112" s="9" t="s">
        <v>31</v>
      </c>
      <c r="F112" s="9"/>
      <c r="G112" s="9"/>
      <c r="H112" s="9"/>
    </row>
    <row r="113" spans="1:8" x14ac:dyDescent="0.3">
      <c r="A113" s="9">
        <v>50</v>
      </c>
      <c r="B113" s="9" t="s">
        <v>173</v>
      </c>
      <c r="C113" s="9" t="s">
        <v>3</v>
      </c>
      <c r="D113" s="9" t="s">
        <v>30</v>
      </c>
      <c r="E113" s="9"/>
      <c r="F113" s="9"/>
      <c r="G113" s="9"/>
      <c r="H113" s="9"/>
    </row>
    <row r="114" spans="1:8" x14ac:dyDescent="0.3">
      <c r="A114" s="9">
        <v>50</v>
      </c>
      <c r="B114" s="9" t="s">
        <v>173</v>
      </c>
      <c r="C114" s="9" t="s">
        <v>7</v>
      </c>
      <c r="D114" s="9" t="s">
        <v>36</v>
      </c>
      <c r="E114" s="9" t="s">
        <v>31</v>
      </c>
      <c r="F114" s="9"/>
      <c r="G114" s="9"/>
      <c r="H114" s="9"/>
    </row>
    <row r="115" spans="1:8" x14ac:dyDescent="0.3">
      <c r="A115" s="9">
        <v>50</v>
      </c>
      <c r="B115" s="9" t="s">
        <v>173</v>
      </c>
      <c r="C115" s="9" t="s">
        <v>8</v>
      </c>
      <c r="D115" s="9" t="s">
        <v>44</v>
      </c>
      <c r="E115" s="9" t="s">
        <v>38</v>
      </c>
      <c r="F115" s="9"/>
      <c r="G115" s="9"/>
      <c r="H115" s="9"/>
    </row>
    <row r="116" spans="1:8" x14ac:dyDescent="0.3">
      <c r="A116" s="9">
        <v>51</v>
      </c>
      <c r="B116" s="9" t="s">
        <v>174</v>
      </c>
      <c r="C116" s="9" t="s">
        <v>3</v>
      </c>
      <c r="D116" s="9" t="s">
        <v>30</v>
      </c>
      <c r="E116" s="9"/>
      <c r="F116" s="9" t="s">
        <v>56</v>
      </c>
      <c r="G116" s="9"/>
      <c r="H116" s="9"/>
    </row>
    <row r="117" spans="1:8" x14ac:dyDescent="0.3">
      <c r="A117" s="9">
        <v>51</v>
      </c>
      <c r="B117" s="9" t="s">
        <v>174</v>
      </c>
      <c r="C117" s="9" t="s">
        <v>7</v>
      </c>
      <c r="D117" s="9" t="s">
        <v>44</v>
      </c>
      <c r="E117" s="9"/>
      <c r="F117" s="9"/>
      <c r="G117" s="9"/>
      <c r="H117" s="9"/>
    </row>
    <row r="118" spans="1:8" x14ac:dyDescent="0.3">
      <c r="A118" s="9">
        <v>52</v>
      </c>
      <c r="B118" s="9" t="s">
        <v>176</v>
      </c>
      <c r="C118" s="9" t="s">
        <v>3</v>
      </c>
      <c r="D118" s="9" t="s">
        <v>44</v>
      </c>
      <c r="E118" s="9"/>
      <c r="F118" s="9" t="s">
        <v>51</v>
      </c>
      <c r="G118" s="9"/>
      <c r="H118" s="9"/>
    </row>
    <row r="119" spans="1:8" x14ac:dyDescent="0.3">
      <c r="A119" s="9">
        <v>52</v>
      </c>
      <c r="B119" s="9" t="s">
        <v>176</v>
      </c>
      <c r="C119" s="9" t="s">
        <v>7</v>
      </c>
      <c r="D119" s="9" t="s">
        <v>37</v>
      </c>
      <c r="E119" s="9" t="s">
        <v>33</v>
      </c>
      <c r="F119" s="9"/>
      <c r="G119" s="9"/>
      <c r="H119" s="9"/>
    </row>
    <row r="120" spans="1:8" x14ac:dyDescent="0.3">
      <c r="A120" s="9">
        <v>53</v>
      </c>
      <c r="B120" s="9" t="s">
        <v>177</v>
      </c>
      <c r="C120" s="9" t="s">
        <v>3</v>
      </c>
      <c r="D120" s="9" t="s">
        <v>44</v>
      </c>
      <c r="E120" s="9"/>
      <c r="F120" s="9" t="s">
        <v>47</v>
      </c>
      <c r="G120" s="9"/>
      <c r="H120" s="9"/>
    </row>
    <row r="121" spans="1:8" x14ac:dyDescent="0.3">
      <c r="A121" s="9">
        <v>53</v>
      </c>
      <c r="B121" s="9" t="s">
        <v>177</v>
      </c>
      <c r="C121" s="9" t="s">
        <v>7</v>
      </c>
      <c r="D121" s="9" t="s">
        <v>42</v>
      </c>
      <c r="E121" s="9"/>
      <c r="F121" s="9"/>
      <c r="G121" s="9"/>
      <c r="H121" s="9"/>
    </row>
    <row r="122" spans="1:8" x14ac:dyDescent="0.3">
      <c r="A122" s="9">
        <v>54</v>
      </c>
      <c r="B122" s="9" t="s">
        <v>178</v>
      </c>
      <c r="C122" s="9" t="s">
        <v>3</v>
      </c>
      <c r="D122" s="9" t="s">
        <v>36</v>
      </c>
      <c r="E122" s="9"/>
      <c r="F122" s="9" t="s">
        <v>43</v>
      </c>
      <c r="G122" s="9"/>
      <c r="H122" s="9"/>
    </row>
    <row r="123" spans="1:8" x14ac:dyDescent="0.3">
      <c r="A123" s="9">
        <v>54</v>
      </c>
      <c r="B123" s="9" t="s">
        <v>178</v>
      </c>
      <c r="C123" s="9" t="s">
        <v>7</v>
      </c>
      <c r="D123" s="9" t="s">
        <v>42</v>
      </c>
      <c r="E123" s="9" t="s">
        <v>71</v>
      </c>
      <c r="F123" s="9"/>
      <c r="G123" s="9"/>
      <c r="H123" s="9"/>
    </row>
    <row r="124" spans="1:8" x14ac:dyDescent="0.3">
      <c r="A124" s="9">
        <v>55</v>
      </c>
      <c r="B124" s="9" t="s">
        <v>179</v>
      </c>
      <c r="C124" s="9" t="s">
        <v>3</v>
      </c>
      <c r="D124" s="9" t="s">
        <v>42</v>
      </c>
      <c r="E124" s="9" t="s">
        <v>31</v>
      </c>
      <c r="F124" s="9" t="s">
        <v>55</v>
      </c>
      <c r="G124" s="9"/>
      <c r="H124" s="9"/>
    </row>
    <row r="125" spans="1:8" x14ac:dyDescent="0.3">
      <c r="A125" s="9">
        <v>55</v>
      </c>
      <c r="B125" s="9" t="s">
        <v>179</v>
      </c>
      <c r="C125" s="9" t="s">
        <v>9</v>
      </c>
      <c r="D125" s="9" t="s">
        <v>44</v>
      </c>
      <c r="E125" s="9" t="s">
        <v>72</v>
      </c>
      <c r="F125" s="9"/>
      <c r="G125" s="9"/>
      <c r="H125" s="9"/>
    </row>
    <row r="126" spans="1:8" x14ac:dyDescent="0.3">
      <c r="A126" s="9">
        <v>56</v>
      </c>
      <c r="B126" s="9" t="s">
        <v>180</v>
      </c>
      <c r="C126" s="9" t="s">
        <v>3</v>
      </c>
      <c r="D126" s="9" t="s">
        <v>30</v>
      </c>
      <c r="E126" s="9"/>
      <c r="F126" s="9" t="s">
        <v>57</v>
      </c>
      <c r="G126" s="9"/>
      <c r="H126" s="9"/>
    </row>
    <row r="127" spans="1:8" x14ac:dyDescent="0.3">
      <c r="A127" s="9">
        <v>56</v>
      </c>
      <c r="B127" s="9" t="s">
        <v>180</v>
      </c>
      <c r="C127" s="9" t="s">
        <v>7</v>
      </c>
      <c r="D127" s="9" t="s">
        <v>44</v>
      </c>
      <c r="E127" s="9"/>
      <c r="F127" s="9"/>
      <c r="G127" s="9"/>
      <c r="H127" s="9"/>
    </row>
    <row r="128" spans="1:8" x14ac:dyDescent="0.3">
      <c r="A128" s="9">
        <v>57</v>
      </c>
      <c r="B128" s="9" t="s">
        <v>182</v>
      </c>
      <c r="C128" s="9" t="s">
        <v>3</v>
      </c>
      <c r="D128" s="9" t="s">
        <v>36</v>
      </c>
      <c r="E128" s="9"/>
      <c r="F128" s="9" t="s">
        <v>55</v>
      </c>
      <c r="G128" s="9"/>
      <c r="H128" s="9"/>
    </row>
    <row r="129" spans="1:8" x14ac:dyDescent="0.3">
      <c r="A129" s="9">
        <v>57</v>
      </c>
      <c r="B129" s="9" t="s">
        <v>182</v>
      </c>
      <c r="C129" s="9" t="s">
        <v>7</v>
      </c>
      <c r="D129" s="9" t="s">
        <v>37</v>
      </c>
      <c r="E129" s="9" t="s">
        <v>66</v>
      </c>
      <c r="F129" s="9"/>
      <c r="G129" s="9"/>
      <c r="H129" s="9"/>
    </row>
    <row r="130" spans="1:8" x14ac:dyDescent="0.3">
      <c r="A130" s="9">
        <v>58</v>
      </c>
      <c r="B130" s="9" t="s">
        <v>183</v>
      </c>
      <c r="C130" s="9" t="s">
        <v>3</v>
      </c>
      <c r="D130" s="9" t="s">
        <v>36</v>
      </c>
      <c r="E130" s="9"/>
      <c r="F130" s="9" t="s">
        <v>57</v>
      </c>
      <c r="G130" s="9"/>
      <c r="H130" s="9"/>
    </row>
    <row r="131" spans="1:8" x14ac:dyDescent="0.3">
      <c r="A131" s="9">
        <v>59</v>
      </c>
      <c r="B131" s="9" t="s">
        <v>184</v>
      </c>
      <c r="C131" s="9" t="s">
        <v>3</v>
      </c>
      <c r="D131" s="9" t="s">
        <v>254</v>
      </c>
      <c r="E131" s="9"/>
      <c r="F131" s="9" t="s">
        <v>45</v>
      </c>
      <c r="G131" s="9"/>
      <c r="H131" s="9"/>
    </row>
    <row r="132" spans="1:8" x14ac:dyDescent="0.3">
      <c r="A132" s="9">
        <v>59</v>
      </c>
      <c r="B132" s="9" t="s">
        <v>184</v>
      </c>
      <c r="C132" s="9" t="s">
        <v>7</v>
      </c>
      <c r="D132" s="9" t="s">
        <v>42</v>
      </c>
      <c r="E132" s="9"/>
      <c r="F132" s="9"/>
      <c r="G132" s="9"/>
      <c r="H132" s="9"/>
    </row>
    <row r="133" spans="1:8" x14ac:dyDescent="0.3">
      <c r="A133" s="9">
        <v>60</v>
      </c>
      <c r="B133" s="9" t="s">
        <v>185</v>
      </c>
      <c r="C133" s="9" t="s">
        <v>3</v>
      </c>
      <c r="D133" s="9" t="s">
        <v>44</v>
      </c>
      <c r="E133" s="9"/>
      <c r="F133" s="9" t="s">
        <v>57</v>
      </c>
      <c r="G133" s="9"/>
      <c r="H133" s="9"/>
    </row>
    <row r="134" spans="1:8" x14ac:dyDescent="0.3">
      <c r="A134" s="9">
        <v>60</v>
      </c>
      <c r="B134" s="9" t="s">
        <v>185</v>
      </c>
      <c r="C134" s="9" t="s">
        <v>7</v>
      </c>
      <c r="D134" s="9" t="s">
        <v>42</v>
      </c>
      <c r="E134" s="9"/>
      <c r="F134" s="9"/>
      <c r="G134" s="9"/>
      <c r="H134" s="9"/>
    </row>
    <row r="135" spans="1:8" x14ac:dyDescent="0.3">
      <c r="A135" s="9">
        <v>61</v>
      </c>
      <c r="B135" s="9" t="s">
        <v>187</v>
      </c>
      <c r="C135" s="9" t="s">
        <v>3</v>
      </c>
      <c r="D135" s="9" t="s">
        <v>42</v>
      </c>
      <c r="E135" s="9"/>
      <c r="F135" s="9" t="s">
        <v>41</v>
      </c>
      <c r="G135" s="9"/>
      <c r="H135" s="9"/>
    </row>
    <row r="136" spans="1:8" x14ac:dyDescent="0.3">
      <c r="A136" s="9">
        <v>61</v>
      </c>
      <c r="B136" s="9" t="s">
        <v>187</v>
      </c>
      <c r="C136" s="9" t="s">
        <v>4</v>
      </c>
      <c r="D136" s="9" t="s">
        <v>39</v>
      </c>
      <c r="E136" s="9" t="s">
        <v>33</v>
      </c>
      <c r="F136" s="9" t="s">
        <v>32</v>
      </c>
      <c r="G136" s="9"/>
      <c r="H136" s="9"/>
    </row>
    <row r="137" spans="1:8" x14ac:dyDescent="0.3">
      <c r="A137" s="9">
        <v>61</v>
      </c>
      <c r="B137" s="9" t="s">
        <v>187</v>
      </c>
      <c r="C137" s="9" t="s">
        <v>7</v>
      </c>
      <c r="D137" s="9" t="s">
        <v>37</v>
      </c>
      <c r="E137" s="9" t="s">
        <v>33</v>
      </c>
      <c r="F137" s="9"/>
      <c r="G137" s="9"/>
      <c r="H137" s="9"/>
    </row>
    <row r="138" spans="1:8" x14ac:dyDescent="0.3">
      <c r="A138" s="9">
        <v>62</v>
      </c>
      <c r="B138" s="9" t="s">
        <v>188</v>
      </c>
      <c r="C138" s="9" t="s">
        <v>3</v>
      </c>
      <c r="D138" s="9" t="s">
        <v>36</v>
      </c>
      <c r="E138" s="9"/>
      <c r="F138" s="9" t="s">
        <v>43</v>
      </c>
      <c r="G138" s="9"/>
      <c r="H138" s="9"/>
    </row>
    <row r="139" spans="1:8" x14ac:dyDescent="0.3">
      <c r="A139" s="9">
        <v>62</v>
      </c>
      <c r="B139" s="9" t="s">
        <v>188</v>
      </c>
      <c r="C139" s="9" t="s">
        <v>7</v>
      </c>
      <c r="D139" s="9" t="s">
        <v>39</v>
      </c>
      <c r="E139" s="9"/>
      <c r="F139" s="9"/>
      <c r="G139" s="9"/>
      <c r="H139" s="9"/>
    </row>
    <row r="140" spans="1:8" x14ac:dyDescent="0.3">
      <c r="A140" s="9">
        <v>63</v>
      </c>
      <c r="B140" s="9" t="s">
        <v>189</v>
      </c>
      <c r="C140" s="9" t="s">
        <v>3</v>
      </c>
      <c r="D140" s="9" t="s">
        <v>37</v>
      </c>
      <c r="E140" s="9" t="s">
        <v>33</v>
      </c>
      <c r="F140" s="9" t="s">
        <v>55</v>
      </c>
      <c r="G140" s="9"/>
      <c r="H140" s="9"/>
    </row>
    <row r="141" spans="1:8" x14ac:dyDescent="0.3">
      <c r="A141" s="9">
        <v>64</v>
      </c>
      <c r="B141" s="9" t="s">
        <v>190</v>
      </c>
      <c r="C141" s="9" t="s">
        <v>3</v>
      </c>
      <c r="D141" s="9" t="s">
        <v>36</v>
      </c>
      <c r="E141" s="9"/>
      <c r="F141" s="9" t="s">
        <v>46</v>
      </c>
      <c r="G141" s="9"/>
      <c r="H141" s="9"/>
    </row>
    <row r="142" spans="1:8" x14ac:dyDescent="0.3">
      <c r="A142" s="9">
        <v>65</v>
      </c>
      <c r="B142" s="9" t="s">
        <v>191</v>
      </c>
      <c r="C142" s="9" t="s">
        <v>3</v>
      </c>
      <c r="D142" s="9" t="s">
        <v>37</v>
      </c>
      <c r="E142" s="9"/>
      <c r="F142" s="9" t="s">
        <v>51</v>
      </c>
      <c r="G142" s="9"/>
      <c r="H142" s="9"/>
    </row>
    <row r="143" spans="1:8" x14ac:dyDescent="0.3">
      <c r="A143" s="9">
        <v>65</v>
      </c>
      <c r="B143" s="9" t="s">
        <v>191</v>
      </c>
      <c r="C143" s="9" t="s">
        <v>5</v>
      </c>
      <c r="D143" s="9" t="s">
        <v>36</v>
      </c>
      <c r="E143" s="9" t="s">
        <v>35</v>
      </c>
      <c r="F143" s="9"/>
      <c r="G143" s="9"/>
      <c r="H143" s="9"/>
    </row>
    <row r="144" spans="1:8" x14ac:dyDescent="0.3">
      <c r="A144" s="9">
        <v>65</v>
      </c>
      <c r="B144" s="9" t="s">
        <v>191</v>
      </c>
      <c r="C144" s="9" t="s">
        <v>7</v>
      </c>
      <c r="D144" s="9" t="s">
        <v>42</v>
      </c>
      <c r="E144" s="9"/>
      <c r="F144" s="9"/>
      <c r="G144" s="9"/>
      <c r="H144" s="9"/>
    </row>
    <row r="145" spans="1:8" x14ac:dyDescent="0.3">
      <c r="A145" s="9">
        <v>66</v>
      </c>
      <c r="B145" s="9" t="s">
        <v>193</v>
      </c>
      <c r="C145" s="9" t="s">
        <v>3</v>
      </c>
      <c r="D145" s="9" t="s">
        <v>36</v>
      </c>
      <c r="E145" s="9" t="s">
        <v>33</v>
      </c>
      <c r="F145" s="9" t="s">
        <v>55</v>
      </c>
      <c r="G145" s="9"/>
      <c r="H145" s="9"/>
    </row>
    <row r="146" spans="1:8" x14ac:dyDescent="0.3">
      <c r="A146" s="9">
        <v>66</v>
      </c>
      <c r="B146" s="9" t="s">
        <v>193</v>
      </c>
      <c r="C146" s="9" t="s">
        <v>6</v>
      </c>
      <c r="D146" s="9" t="s">
        <v>73</v>
      </c>
      <c r="E146" s="9" t="s">
        <v>35</v>
      </c>
      <c r="F146" s="9"/>
      <c r="G146" s="9"/>
      <c r="H146" s="9"/>
    </row>
    <row r="147" spans="1:8" x14ac:dyDescent="0.3">
      <c r="A147" s="9">
        <v>67</v>
      </c>
      <c r="B147" s="9" t="s">
        <v>194</v>
      </c>
      <c r="C147" s="9" t="s">
        <v>3</v>
      </c>
      <c r="D147" s="9" t="s">
        <v>37</v>
      </c>
      <c r="E147" s="9"/>
      <c r="F147" s="9" t="s">
        <v>43</v>
      </c>
      <c r="G147" s="9"/>
      <c r="H147" s="9"/>
    </row>
    <row r="148" spans="1:8" x14ac:dyDescent="0.3">
      <c r="A148" s="9">
        <v>67</v>
      </c>
      <c r="B148" s="9" t="s">
        <v>194</v>
      </c>
      <c r="C148" s="9" t="s">
        <v>7</v>
      </c>
      <c r="D148" s="9" t="s">
        <v>42</v>
      </c>
      <c r="E148" s="9" t="s">
        <v>33</v>
      </c>
      <c r="F148" s="9"/>
      <c r="G148" s="9"/>
      <c r="H148" s="9"/>
    </row>
    <row r="149" spans="1:8" x14ac:dyDescent="0.3">
      <c r="A149" s="9">
        <v>68</v>
      </c>
      <c r="B149" s="9" t="s">
        <v>195</v>
      </c>
      <c r="C149" s="9" t="s">
        <v>3</v>
      </c>
      <c r="D149" s="9" t="s">
        <v>44</v>
      </c>
      <c r="E149" s="9"/>
      <c r="F149" s="9" t="s">
        <v>54</v>
      </c>
      <c r="G149" s="9"/>
      <c r="H149" s="9"/>
    </row>
    <row r="150" spans="1:8" x14ac:dyDescent="0.3">
      <c r="A150" s="9">
        <v>68</v>
      </c>
      <c r="B150" s="9" t="s">
        <v>195</v>
      </c>
      <c r="C150" s="9" t="s">
        <v>7</v>
      </c>
      <c r="D150" s="9" t="s">
        <v>42</v>
      </c>
      <c r="E150" s="9" t="s">
        <v>31</v>
      </c>
      <c r="F150" s="9"/>
      <c r="G150" s="9"/>
      <c r="H150" s="9"/>
    </row>
    <row r="151" spans="1:8" x14ac:dyDescent="0.3">
      <c r="A151" s="9">
        <v>69</v>
      </c>
      <c r="B151" s="9" t="s">
        <v>255</v>
      </c>
      <c r="C151" s="9" t="s">
        <v>3</v>
      </c>
      <c r="D151" s="9" t="s">
        <v>36</v>
      </c>
      <c r="E151" s="9" t="s">
        <v>31</v>
      </c>
      <c r="F151" s="9" t="s">
        <v>56</v>
      </c>
      <c r="G151" s="9"/>
      <c r="H151" s="9"/>
    </row>
    <row r="152" spans="1:8" x14ac:dyDescent="0.3">
      <c r="A152" s="9">
        <v>69</v>
      </c>
      <c r="B152" s="9" t="s">
        <v>255</v>
      </c>
      <c r="C152" s="9" t="s">
        <v>7</v>
      </c>
      <c r="D152" s="9" t="s">
        <v>36</v>
      </c>
      <c r="E152" s="9" t="s">
        <v>63</v>
      </c>
      <c r="F152" s="9"/>
      <c r="G152" s="9"/>
      <c r="H152" s="9"/>
    </row>
    <row r="153" spans="1:8" x14ac:dyDescent="0.3">
      <c r="A153" s="9">
        <v>70</v>
      </c>
      <c r="B153" s="9" t="s">
        <v>198</v>
      </c>
      <c r="C153" s="9" t="s">
        <v>3</v>
      </c>
      <c r="D153" s="9" t="s">
        <v>42</v>
      </c>
      <c r="E153" s="9"/>
      <c r="F153" s="9" t="s">
        <v>47</v>
      </c>
      <c r="G153" s="9"/>
      <c r="H153" s="9"/>
    </row>
    <row r="154" spans="1:8" x14ac:dyDescent="0.3">
      <c r="A154" s="9">
        <v>71</v>
      </c>
      <c r="B154" s="9" t="s">
        <v>199</v>
      </c>
      <c r="C154" s="9" t="s">
        <v>3</v>
      </c>
      <c r="D154" s="9" t="s">
        <v>36</v>
      </c>
      <c r="E154" s="9"/>
      <c r="F154" s="9" t="s">
        <v>51</v>
      </c>
      <c r="G154" s="9"/>
      <c r="H154" s="9"/>
    </row>
    <row r="155" spans="1:8" x14ac:dyDescent="0.3">
      <c r="A155" s="9">
        <v>71</v>
      </c>
      <c r="B155" s="9" t="s">
        <v>199</v>
      </c>
      <c r="C155" s="9" t="s">
        <v>7</v>
      </c>
      <c r="D155" s="9" t="s">
        <v>74</v>
      </c>
      <c r="E155" s="9"/>
      <c r="F155" s="9"/>
      <c r="G155" s="9"/>
      <c r="H155" s="9"/>
    </row>
    <row r="156" spans="1:8" x14ac:dyDescent="0.3">
      <c r="A156" s="9">
        <v>72</v>
      </c>
      <c r="B156" s="13" t="s">
        <v>201</v>
      </c>
      <c r="C156" s="9" t="s">
        <v>3</v>
      </c>
      <c r="D156" s="9" t="s">
        <v>44</v>
      </c>
      <c r="E156" s="9"/>
      <c r="F156" s="9" t="s">
        <v>54</v>
      </c>
      <c r="G156" s="9"/>
      <c r="H156" s="9"/>
    </row>
    <row r="157" spans="1:8" x14ac:dyDescent="0.3">
      <c r="A157" s="9">
        <v>72</v>
      </c>
      <c r="B157" s="13" t="s">
        <v>201</v>
      </c>
      <c r="C157" s="9" t="s">
        <v>7</v>
      </c>
      <c r="D157" s="9" t="s">
        <v>39</v>
      </c>
      <c r="E157" s="9" t="s">
        <v>75</v>
      </c>
      <c r="F157" s="9"/>
      <c r="G157" s="9"/>
      <c r="H157" s="9"/>
    </row>
    <row r="158" spans="1:8" x14ac:dyDescent="0.3">
      <c r="A158" s="9">
        <v>72</v>
      </c>
      <c r="B158" s="13" t="s">
        <v>201</v>
      </c>
      <c r="C158" s="9" t="s">
        <v>9</v>
      </c>
      <c r="D158" s="9" t="s">
        <v>36</v>
      </c>
      <c r="E158" s="9" t="s">
        <v>38</v>
      </c>
      <c r="F158" s="9"/>
      <c r="G158" s="9"/>
      <c r="H158" s="9"/>
    </row>
    <row r="159" spans="1:8" x14ac:dyDescent="0.3">
      <c r="A159" s="9">
        <v>73</v>
      </c>
      <c r="B159" s="13" t="s">
        <v>202</v>
      </c>
      <c r="C159" s="9" t="s">
        <v>3</v>
      </c>
      <c r="D159" s="9" t="s">
        <v>42</v>
      </c>
      <c r="E159" s="9" t="s">
        <v>31</v>
      </c>
      <c r="F159" s="9" t="s">
        <v>57</v>
      </c>
      <c r="G159" s="9"/>
      <c r="H159" s="9"/>
    </row>
    <row r="160" spans="1:8" x14ac:dyDescent="0.3">
      <c r="A160" s="9">
        <v>74</v>
      </c>
      <c r="B160" s="13" t="s">
        <v>203</v>
      </c>
      <c r="C160" s="9" t="s">
        <v>3</v>
      </c>
      <c r="D160" s="9" t="s">
        <v>37</v>
      </c>
      <c r="E160" s="9"/>
      <c r="F160" s="9" t="s">
        <v>49</v>
      </c>
      <c r="G160" s="9"/>
      <c r="H160" s="9"/>
    </row>
    <row r="161" spans="1:8" x14ac:dyDescent="0.3">
      <c r="A161" s="9">
        <v>74</v>
      </c>
      <c r="B161" s="13" t="s">
        <v>203</v>
      </c>
      <c r="C161" s="9" t="s">
        <v>7</v>
      </c>
      <c r="D161" s="9" t="s">
        <v>36</v>
      </c>
      <c r="E161" s="9" t="s">
        <v>31</v>
      </c>
      <c r="F161" s="9"/>
      <c r="G161" s="9"/>
      <c r="H161" s="9"/>
    </row>
    <row r="162" spans="1:8" x14ac:dyDescent="0.3">
      <c r="A162" s="9">
        <v>75</v>
      </c>
      <c r="B162" s="13" t="s">
        <v>204</v>
      </c>
      <c r="C162" s="9" t="s">
        <v>3</v>
      </c>
      <c r="D162" s="9" t="s">
        <v>44</v>
      </c>
      <c r="E162" s="9"/>
      <c r="F162" s="9" t="s">
        <v>40</v>
      </c>
      <c r="G162" s="9"/>
      <c r="H162" s="9"/>
    </row>
    <row r="163" spans="1:8" x14ac:dyDescent="0.3">
      <c r="A163" s="9">
        <v>76</v>
      </c>
      <c r="B163" s="13" t="s">
        <v>206</v>
      </c>
      <c r="C163" s="9" t="s">
        <v>3</v>
      </c>
      <c r="D163" s="9" t="s">
        <v>44</v>
      </c>
      <c r="E163" s="9"/>
      <c r="F163" s="9"/>
      <c r="G163" s="9"/>
      <c r="H163" s="9"/>
    </row>
    <row r="164" spans="1:8" x14ac:dyDescent="0.3">
      <c r="A164" s="9">
        <v>76</v>
      </c>
      <c r="B164" s="13" t="s">
        <v>206</v>
      </c>
      <c r="C164" s="9" t="s">
        <v>7</v>
      </c>
      <c r="D164" s="9" t="s">
        <v>30</v>
      </c>
      <c r="E164" s="9"/>
      <c r="F164" s="9"/>
      <c r="G164" s="9"/>
      <c r="H164" s="9"/>
    </row>
    <row r="165" spans="1:8" x14ac:dyDescent="0.3">
      <c r="A165" s="9">
        <v>76</v>
      </c>
      <c r="B165" s="13" t="s">
        <v>206</v>
      </c>
      <c r="C165" s="9" t="s">
        <v>8</v>
      </c>
      <c r="D165" s="9" t="s">
        <v>36</v>
      </c>
      <c r="E165" s="9"/>
      <c r="F165" s="9"/>
      <c r="G165" s="9"/>
      <c r="H165" s="9"/>
    </row>
    <row r="166" spans="1:8" x14ac:dyDescent="0.3">
      <c r="A166" s="9">
        <v>77</v>
      </c>
      <c r="B166" s="13" t="s">
        <v>256</v>
      </c>
      <c r="C166" s="9" t="s">
        <v>3</v>
      </c>
      <c r="D166" s="9" t="s">
        <v>37</v>
      </c>
      <c r="E166" s="9"/>
      <c r="F166" s="9" t="s">
        <v>52</v>
      </c>
      <c r="G166" s="9"/>
      <c r="H166" s="9"/>
    </row>
    <row r="167" spans="1:8" x14ac:dyDescent="0.3">
      <c r="A167" s="9">
        <v>78</v>
      </c>
      <c r="B167" s="9" t="s">
        <v>209</v>
      </c>
      <c r="C167" s="9" t="s">
        <v>3</v>
      </c>
      <c r="D167" s="9" t="s">
        <v>44</v>
      </c>
      <c r="E167" s="9"/>
      <c r="F167" s="9" t="s">
        <v>46</v>
      </c>
      <c r="G167" s="9"/>
      <c r="H167" s="9"/>
    </row>
    <row r="168" spans="1:8" x14ac:dyDescent="0.3">
      <c r="A168" s="9">
        <v>78</v>
      </c>
      <c r="B168" s="9" t="s">
        <v>209</v>
      </c>
      <c r="C168" s="9" t="s">
        <v>7</v>
      </c>
      <c r="D168" s="9" t="s">
        <v>44</v>
      </c>
      <c r="E168" s="9" t="s">
        <v>33</v>
      </c>
      <c r="F168" s="9"/>
      <c r="G168" s="9"/>
      <c r="H168" s="9"/>
    </row>
    <row r="169" spans="1:8" x14ac:dyDescent="0.3">
      <c r="A169" s="9">
        <v>78</v>
      </c>
      <c r="B169" s="9" t="s">
        <v>209</v>
      </c>
      <c r="C169" s="9" t="s">
        <v>8</v>
      </c>
      <c r="D169" s="9" t="s">
        <v>42</v>
      </c>
      <c r="E169" s="9" t="s">
        <v>64</v>
      </c>
      <c r="F169" s="9"/>
      <c r="G169" s="9"/>
      <c r="H169" s="9"/>
    </row>
    <row r="170" spans="1:8" x14ac:dyDescent="0.3">
      <c r="A170" s="9">
        <v>79</v>
      </c>
      <c r="B170" s="9" t="s">
        <v>210</v>
      </c>
      <c r="C170" s="9" t="s">
        <v>3</v>
      </c>
      <c r="D170" s="9" t="s">
        <v>42</v>
      </c>
      <c r="E170" s="9" t="s">
        <v>33</v>
      </c>
      <c r="F170" s="9" t="s">
        <v>57</v>
      </c>
      <c r="G170" s="9"/>
      <c r="H170" s="9"/>
    </row>
    <row r="171" spans="1:8" x14ac:dyDescent="0.3">
      <c r="A171" s="9">
        <v>80</v>
      </c>
      <c r="B171" s="9" t="s">
        <v>211</v>
      </c>
      <c r="C171" s="9" t="s">
        <v>3</v>
      </c>
      <c r="D171" s="9" t="s">
        <v>30</v>
      </c>
      <c r="E171" s="9"/>
      <c r="F171" s="9"/>
      <c r="G171" s="9"/>
      <c r="H171" s="9"/>
    </row>
    <row r="172" spans="1:8" x14ac:dyDescent="0.3">
      <c r="A172" s="9">
        <v>80</v>
      </c>
      <c r="B172" s="9" t="s">
        <v>211</v>
      </c>
      <c r="C172" s="9" t="s">
        <v>7</v>
      </c>
      <c r="D172" s="9" t="s">
        <v>44</v>
      </c>
      <c r="E172" s="9" t="s">
        <v>31</v>
      </c>
      <c r="F172" s="9"/>
      <c r="G172" s="9"/>
      <c r="H172" s="9"/>
    </row>
    <row r="173" spans="1:8" x14ac:dyDescent="0.3">
      <c r="A173" s="9">
        <v>81</v>
      </c>
      <c r="B173" s="9" t="s">
        <v>212</v>
      </c>
      <c r="C173" s="9" t="s">
        <v>3</v>
      </c>
      <c r="D173" s="9" t="s">
        <v>36</v>
      </c>
      <c r="E173" s="9"/>
      <c r="F173" s="9" t="s">
        <v>32</v>
      </c>
      <c r="G173" s="9"/>
      <c r="H173" s="9"/>
    </row>
    <row r="174" spans="1:8" x14ac:dyDescent="0.3">
      <c r="A174" s="9">
        <v>81</v>
      </c>
      <c r="B174" s="9" t="s">
        <v>212</v>
      </c>
      <c r="C174" s="9" t="s">
        <v>7</v>
      </c>
      <c r="D174" s="9" t="s">
        <v>39</v>
      </c>
      <c r="E174" s="9" t="s">
        <v>31</v>
      </c>
      <c r="F174" s="9"/>
      <c r="G174" s="9"/>
      <c r="H174" s="9"/>
    </row>
    <row r="175" spans="1:8" x14ac:dyDescent="0.3">
      <c r="A175" s="9">
        <v>82</v>
      </c>
      <c r="B175" s="9" t="s">
        <v>214</v>
      </c>
      <c r="C175" s="9" t="s">
        <v>3</v>
      </c>
      <c r="D175" s="9" t="s">
        <v>44</v>
      </c>
      <c r="E175" s="9"/>
      <c r="F175" s="9" t="s">
        <v>43</v>
      </c>
      <c r="G175" s="9"/>
      <c r="H175" s="9"/>
    </row>
    <row r="176" spans="1:8" x14ac:dyDescent="0.3">
      <c r="A176" s="9">
        <v>82</v>
      </c>
      <c r="B176" s="9" t="s">
        <v>214</v>
      </c>
      <c r="C176" s="9" t="s">
        <v>7</v>
      </c>
      <c r="D176" s="9" t="s">
        <v>30</v>
      </c>
      <c r="E176" s="9" t="s">
        <v>31</v>
      </c>
      <c r="F176" s="9"/>
      <c r="G176" s="9"/>
      <c r="H176" s="9"/>
    </row>
    <row r="177" spans="1:8" x14ac:dyDescent="0.3">
      <c r="A177" s="9">
        <v>83</v>
      </c>
      <c r="B177" s="9" t="s">
        <v>215</v>
      </c>
      <c r="C177" s="9" t="s">
        <v>3</v>
      </c>
      <c r="D177" s="9" t="s">
        <v>42</v>
      </c>
      <c r="E177" s="9"/>
      <c r="F177" s="9" t="s">
        <v>45</v>
      </c>
      <c r="G177" s="9"/>
      <c r="H177" s="9"/>
    </row>
    <row r="178" spans="1:8" x14ac:dyDescent="0.3">
      <c r="A178" s="9">
        <v>83</v>
      </c>
      <c r="B178" s="9" t="s">
        <v>215</v>
      </c>
      <c r="C178" s="9" t="s">
        <v>7</v>
      </c>
      <c r="D178" s="9" t="s">
        <v>37</v>
      </c>
      <c r="E178" s="9" t="s">
        <v>48</v>
      </c>
      <c r="F178" s="9"/>
      <c r="G178" s="9"/>
      <c r="H178" s="9"/>
    </row>
    <row r="179" spans="1:8" x14ac:dyDescent="0.3">
      <c r="A179" s="9">
        <v>84</v>
      </c>
      <c r="B179" s="9" t="s">
        <v>216</v>
      </c>
      <c r="C179" s="9" t="s">
        <v>3</v>
      </c>
      <c r="D179" s="9" t="s">
        <v>30</v>
      </c>
      <c r="E179" s="9"/>
      <c r="F179" s="9" t="s">
        <v>40</v>
      </c>
      <c r="G179" s="9"/>
      <c r="H179" s="9"/>
    </row>
    <row r="180" spans="1:8" x14ac:dyDescent="0.3">
      <c r="A180" s="9">
        <v>84</v>
      </c>
      <c r="B180" s="9" t="s">
        <v>216</v>
      </c>
      <c r="C180" s="9" t="s">
        <v>7</v>
      </c>
      <c r="D180" s="9" t="s">
        <v>44</v>
      </c>
      <c r="E180" s="9" t="s">
        <v>31</v>
      </c>
      <c r="F180" s="9"/>
      <c r="G180" s="9"/>
      <c r="H180" s="9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Φύλλο11"/>
  <dimension ref="A1:A2"/>
  <sheetViews>
    <sheetView topLeftCell="A3" zoomScale="96" zoomScaleNormal="96" workbookViewId="0">
      <selection activeCell="A9" sqref="A9"/>
    </sheetView>
  </sheetViews>
  <sheetFormatPr defaultRowHeight="14.4" x14ac:dyDescent="0.3"/>
  <cols>
    <col min="1" max="1" width="90.77734375" customWidth="1"/>
  </cols>
  <sheetData>
    <row r="1" spans="1:1" x14ac:dyDescent="0.3">
      <c r="A1" s="29" t="s">
        <v>268</v>
      </c>
    </row>
    <row r="2" spans="1:1" x14ac:dyDescent="0.3">
      <c r="A2" t="s">
        <v>312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Φύλλο12"/>
  <dimension ref="A1:J18"/>
  <sheetViews>
    <sheetView tabSelected="1" zoomScale="79" zoomScaleNormal="79" workbookViewId="0">
      <selection activeCell="L3" sqref="L3"/>
    </sheetView>
  </sheetViews>
  <sheetFormatPr defaultRowHeight="14.4" x14ac:dyDescent="0.3"/>
  <cols>
    <col min="1" max="1" width="6" style="30" customWidth="1"/>
    <col min="2" max="10" width="22.77734375" customWidth="1"/>
  </cols>
  <sheetData>
    <row r="1" spans="1:10" ht="24" customHeight="1" x14ac:dyDescent="0.3">
      <c r="A1" s="31"/>
      <c r="B1" s="32" t="s">
        <v>40</v>
      </c>
      <c r="C1" s="32" t="s">
        <v>43</v>
      </c>
      <c r="D1" s="32" t="s">
        <v>46</v>
      </c>
      <c r="E1" s="32" t="s">
        <v>54</v>
      </c>
      <c r="F1" s="32" t="s">
        <v>52</v>
      </c>
      <c r="G1" s="32" t="s">
        <v>55</v>
      </c>
      <c r="H1" s="32" t="s">
        <v>32</v>
      </c>
      <c r="I1" s="32" t="s">
        <v>53</v>
      </c>
      <c r="J1" s="33" t="s">
        <v>262</v>
      </c>
    </row>
    <row r="2" spans="1:10" ht="34.049999999999997" customHeight="1" x14ac:dyDescent="0.3">
      <c r="A2" s="34">
        <v>0.35416666666666669</v>
      </c>
      <c r="B2" s="36"/>
      <c r="C2" s="61" t="s">
        <v>301</v>
      </c>
      <c r="D2" s="37" t="s">
        <v>269</v>
      </c>
      <c r="E2" s="36"/>
      <c r="F2" s="35" t="s">
        <v>296</v>
      </c>
      <c r="G2" s="61" t="s">
        <v>140</v>
      </c>
      <c r="H2" s="37" t="s">
        <v>279</v>
      </c>
      <c r="I2" s="61" t="s">
        <v>298</v>
      </c>
      <c r="J2" s="36"/>
    </row>
    <row r="3" spans="1:10" ht="34.049999999999997" customHeight="1" x14ac:dyDescent="0.3">
      <c r="A3" s="34">
        <v>0.38541666666666669</v>
      </c>
      <c r="B3" s="35" t="s">
        <v>155</v>
      </c>
      <c r="C3" s="61" t="s">
        <v>188</v>
      </c>
      <c r="D3" s="35" t="s">
        <v>261</v>
      </c>
      <c r="E3" s="38" t="s">
        <v>293</v>
      </c>
      <c r="F3" s="46" t="s">
        <v>289</v>
      </c>
      <c r="G3" s="38" t="s">
        <v>206</v>
      </c>
      <c r="H3" s="38" t="s">
        <v>282</v>
      </c>
      <c r="I3" s="38" t="s">
        <v>160</v>
      </c>
      <c r="J3" s="36"/>
    </row>
    <row r="4" spans="1:10" ht="34.049999999999997" customHeight="1" x14ac:dyDescent="0.3">
      <c r="A4" s="34">
        <v>0.41666666666666669</v>
      </c>
      <c r="B4" s="35" t="s">
        <v>142</v>
      </c>
      <c r="C4" s="61" t="s">
        <v>157</v>
      </c>
      <c r="D4" s="38" t="s">
        <v>199</v>
      </c>
      <c r="E4" s="61" t="s">
        <v>171</v>
      </c>
      <c r="F4" s="35" t="s">
        <v>307</v>
      </c>
      <c r="G4" s="61" t="s">
        <v>179</v>
      </c>
      <c r="H4" s="35" t="s">
        <v>143</v>
      </c>
      <c r="I4" s="61" t="s">
        <v>257</v>
      </c>
      <c r="J4" s="36"/>
    </row>
    <row r="5" spans="1:10" ht="34.049999999999997" customHeight="1" x14ac:dyDescent="0.3">
      <c r="A5" s="34">
        <v>0.44791666666666669</v>
      </c>
      <c r="B5" s="36"/>
      <c r="C5" s="61" t="s">
        <v>194</v>
      </c>
      <c r="D5" s="38" t="s">
        <v>308</v>
      </c>
      <c r="E5" s="61" t="s">
        <v>288</v>
      </c>
      <c r="F5" s="38" t="s">
        <v>280</v>
      </c>
      <c r="G5" s="61" t="s">
        <v>291</v>
      </c>
      <c r="H5" s="46" t="s">
        <v>290</v>
      </c>
      <c r="I5" s="61" t="s">
        <v>128</v>
      </c>
      <c r="J5" s="36"/>
    </row>
    <row r="6" spans="1:10" ht="34.049999999999997" customHeight="1" x14ac:dyDescent="0.3">
      <c r="A6" s="34">
        <v>0.47916666666666669</v>
      </c>
      <c r="B6" s="35" t="s">
        <v>167</v>
      </c>
      <c r="C6" s="38" t="s">
        <v>178</v>
      </c>
      <c r="D6" s="35" t="s">
        <v>302</v>
      </c>
      <c r="E6" s="36"/>
      <c r="F6" s="36"/>
      <c r="G6" s="62" t="s">
        <v>284</v>
      </c>
      <c r="H6" s="35" t="s">
        <v>212</v>
      </c>
      <c r="I6" s="63" t="s">
        <v>292</v>
      </c>
      <c r="J6" s="36"/>
    </row>
    <row r="7" spans="1:10" ht="34.049999999999997" customHeight="1" x14ac:dyDescent="0.3">
      <c r="A7" s="34">
        <v>0.51041666666666663</v>
      </c>
      <c r="B7" s="38" t="s">
        <v>110</v>
      </c>
      <c r="C7" s="38" t="s">
        <v>115</v>
      </c>
      <c r="D7" s="35" t="s">
        <v>149</v>
      </c>
      <c r="E7" s="61" t="s">
        <v>135</v>
      </c>
      <c r="F7" s="36"/>
      <c r="G7" s="38" t="s">
        <v>305</v>
      </c>
      <c r="H7" s="46" t="s">
        <v>277</v>
      </c>
      <c r="I7" s="61" t="s">
        <v>139</v>
      </c>
      <c r="J7" s="36"/>
    </row>
    <row r="8" spans="1:10" ht="34.049999999999997" customHeight="1" x14ac:dyDescent="0.3">
      <c r="A8" s="34">
        <v>0.54166666666666663</v>
      </c>
      <c r="B8" s="35" t="s">
        <v>281</v>
      </c>
      <c r="C8" s="36"/>
      <c r="D8" s="36"/>
      <c r="E8" s="36"/>
      <c r="F8" s="36"/>
      <c r="G8" s="36"/>
      <c r="H8" s="36"/>
      <c r="I8" s="36"/>
      <c r="J8" s="36"/>
    </row>
    <row r="9" spans="1:10" x14ac:dyDescent="0.3">
      <c r="A9" s="39"/>
      <c r="B9" s="36"/>
      <c r="C9" s="36"/>
      <c r="D9" s="36"/>
      <c r="E9" s="36"/>
      <c r="F9" s="36"/>
      <c r="G9" s="36"/>
      <c r="H9" s="36"/>
      <c r="I9" s="36"/>
      <c r="J9" s="36"/>
    </row>
    <row r="10" spans="1:10" x14ac:dyDescent="0.3">
      <c r="A10" s="39"/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24" customHeight="1" x14ac:dyDescent="0.3">
      <c r="A11" s="31"/>
      <c r="B11" s="32" t="s">
        <v>41</v>
      </c>
      <c r="C11" s="32" t="s">
        <v>62</v>
      </c>
      <c r="D11" s="32" t="s">
        <v>49</v>
      </c>
      <c r="E11" s="32" t="s">
        <v>57</v>
      </c>
      <c r="F11" s="32" t="s">
        <v>45</v>
      </c>
      <c r="G11" s="32" t="s">
        <v>58</v>
      </c>
      <c r="H11" s="32" t="s">
        <v>51</v>
      </c>
      <c r="I11" s="32" t="s">
        <v>47</v>
      </c>
      <c r="J11" s="32" t="s">
        <v>56</v>
      </c>
    </row>
    <row r="12" spans="1:10" ht="34.049999999999997" customHeight="1" x14ac:dyDescent="0.3">
      <c r="A12" s="34">
        <v>0.35416666666666669</v>
      </c>
      <c r="B12" s="35" t="s">
        <v>123</v>
      </c>
      <c r="C12" s="36"/>
      <c r="D12" s="46" t="s">
        <v>283</v>
      </c>
      <c r="E12" s="61" t="s">
        <v>180</v>
      </c>
      <c r="F12" s="35" t="s">
        <v>211</v>
      </c>
      <c r="G12" s="61" t="s">
        <v>295</v>
      </c>
      <c r="H12" s="36"/>
      <c r="I12" s="61" t="s">
        <v>259</v>
      </c>
      <c r="J12" s="35" t="s">
        <v>174</v>
      </c>
    </row>
    <row r="13" spans="1:10" ht="34.049999999999997" customHeight="1" x14ac:dyDescent="0.3">
      <c r="A13" s="34">
        <v>0.38541666666666669</v>
      </c>
      <c r="B13" s="35" t="s">
        <v>129</v>
      </c>
      <c r="C13" s="36"/>
      <c r="D13" s="46" t="s">
        <v>287</v>
      </c>
      <c r="E13" s="61" t="s">
        <v>185</v>
      </c>
      <c r="F13" s="38" t="s">
        <v>116</v>
      </c>
      <c r="G13" s="61" t="s">
        <v>299</v>
      </c>
      <c r="H13" s="36"/>
      <c r="I13" s="61" t="s">
        <v>300</v>
      </c>
      <c r="J13" s="37" t="s">
        <v>286</v>
      </c>
    </row>
    <row r="14" spans="1:10" ht="34.049999999999997" customHeight="1" x14ac:dyDescent="0.3">
      <c r="A14" s="34">
        <v>0.41666666666666669</v>
      </c>
      <c r="B14" s="35" t="s">
        <v>187</v>
      </c>
      <c r="C14" s="36"/>
      <c r="D14" s="35" t="s">
        <v>303</v>
      </c>
      <c r="E14" s="62" t="s">
        <v>260</v>
      </c>
      <c r="F14" s="35" t="s">
        <v>215</v>
      </c>
      <c r="G14" s="61" t="s">
        <v>310</v>
      </c>
      <c r="H14" s="36"/>
      <c r="I14" s="38" t="s">
        <v>198</v>
      </c>
      <c r="J14" s="35" t="s">
        <v>261</v>
      </c>
    </row>
    <row r="15" spans="1:10" ht="34.049999999999997" customHeight="1" x14ac:dyDescent="0.3">
      <c r="A15" s="34">
        <v>0.44791666666666669</v>
      </c>
      <c r="B15" s="38" t="s">
        <v>111</v>
      </c>
      <c r="C15" s="36"/>
      <c r="D15" s="38" t="s">
        <v>203</v>
      </c>
      <c r="E15" s="64" t="s">
        <v>311</v>
      </c>
      <c r="F15" s="35" t="s">
        <v>120</v>
      </c>
      <c r="G15" s="36"/>
      <c r="H15" s="36"/>
      <c r="I15" s="61" t="s">
        <v>191</v>
      </c>
      <c r="J15" s="35" t="s">
        <v>172</v>
      </c>
    </row>
    <row r="16" spans="1:10" ht="34.049999999999997" customHeight="1" x14ac:dyDescent="0.3">
      <c r="A16" s="34">
        <v>0.47916666666666669</v>
      </c>
      <c r="B16" s="35" t="s">
        <v>304</v>
      </c>
      <c r="C16" s="36"/>
      <c r="D16" s="35" t="s">
        <v>146</v>
      </c>
      <c r="E16" s="61" t="s">
        <v>183</v>
      </c>
      <c r="F16" s="35" t="s">
        <v>184</v>
      </c>
      <c r="G16" s="36"/>
      <c r="H16" s="36"/>
      <c r="I16" s="36"/>
      <c r="J16" s="37" t="s">
        <v>258</v>
      </c>
    </row>
    <row r="17" spans="1:10" ht="34.049999999999997" customHeight="1" x14ac:dyDescent="0.3">
      <c r="A17" s="34">
        <v>0.51041666666666663</v>
      </c>
      <c r="B17" s="35" t="s">
        <v>163</v>
      </c>
      <c r="C17" s="36"/>
      <c r="D17" s="35" t="s">
        <v>122</v>
      </c>
      <c r="E17" s="61" t="s">
        <v>154</v>
      </c>
      <c r="F17" s="37" t="s">
        <v>285</v>
      </c>
      <c r="G17" s="36"/>
      <c r="H17" s="36"/>
      <c r="I17" s="61" t="s">
        <v>119</v>
      </c>
      <c r="J17" s="35" t="s">
        <v>176</v>
      </c>
    </row>
    <row r="18" spans="1:10" ht="34.049999999999997" customHeight="1" x14ac:dyDescent="0.3">
      <c r="A18" s="34">
        <v>0.54166666666666663</v>
      </c>
      <c r="B18" s="36"/>
      <c r="C18" s="36"/>
      <c r="D18" s="36"/>
      <c r="E18" s="36"/>
      <c r="F18" s="35" t="s">
        <v>134</v>
      </c>
      <c r="G18" s="36"/>
      <c r="H18" s="36"/>
      <c r="I18" s="36"/>
      <c r="J18" s="36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freshAll">
                <anchor moveWithCells="1" sizeWithCells="1">
                  <from>
                    <xdr:col>10</xdr:col>
                    <xdr:colOff>45720</xdr:colOff>
                    <xdr:row>1</xdr:row>
                    <xdr:rowOff>76200</xdr:rowOff>
                  </from>
                  <to>
                    <xdr:col>11</xdr:col>
                    <xdr:colOff>601980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13</vt:i4>
      </vt:variant>
    </vt:vector>
  </HeadingPairs>
  <TitlesOfParts>
    <vt:vector size="13" baseType="lpstr">
      <vt:lpstr>PATIENT_PLANNER</vt:lpstr>
      <vt:lpstr>MASTER_SCHEDULE</vt:lpstr>
      <vt:lpstr>THERAPIST_ATTENDANCE</vt:lpstr>
      <vt:lpstr>REPLACEMENTS</vt:lpstr>
      <vt:lpstr>REPLACEMENT_LOG</vt:lpstr>
      <vt:lpstr>DAILY_LOG</vt:lpstr>
      <vt:lpstr>STATISTICS</vt:lpstr>
      <vt:lpstr>PATIENTS</vt:lpstr>
      <vt:lpstr>NEW_PATIENT</vt:lpstr>
      <vt:lpstr>SETTINGS</vt:lpstr>
      <vt:lpstr>SESSIONS</vt:lpstr>
      <vt:lpstr>CONFLICT_LOG</vt:lpstr>
      <vt:lpstr>THERAPIST_DAILY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ARISTEIDIS MILIDAKIS</cp:lastModifiedBy>
  <dcterms:created xsi:type="dcterms:W3CDTF">2026-03-15T00:17:49Z</dcterms:created>
  <dcterms:modified xsi:type="dcterms:W3CDTF">2026-03-29T23:19:25Z</dcterms:modified>
</cp:coreProperties>
</file>